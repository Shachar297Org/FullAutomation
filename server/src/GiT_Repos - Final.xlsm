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umenis-my.sharepoint.com/personal/moran_dringer_lumenis_com/Documents/"/>
    </mc:Choice>
  </mc:AlternateContent>
  <xr:revisionPtr revIDLastSave="364" documentId="8_{C25C7627-C58C-4C61-8CB2-9AFA82172CD2}" xr6:coauthVersionLast="47" xr6:coauthVersionMax="47" xr10:uidLastSave="{A3D57C61-EF80-4237-84A3-5FE51D6245DA}"/>
  <bookViews>
    <workbookView xWindow="-120" yWindow="-120" windowWidth="29040" windowHeight="15840" xr2:uid="{E767E506-A3CD-4A8F-96D2-7C2D3B0DDB18}"/>
  </bookViews>
  <sheets>
    <sheet name="Output" sheetId="2" r:id="rId1"/>
  </sheets>
  <definedNames>
    <definedName name="_xlnm._FilterDatabase" localSheetId="0" hidden="1">Output!$A$1:$E$147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6" i="2" l="1"/>
  <c r="C136" i="2"/>
  <c r="C133" i="2"/>
  <c r="B133" i="2"/>
  <c r="C132" i="2"/>
  <c r="B132" i="2"/>
  <c r="C131" i="2"/>
  <c r="B131" i="2"/>
  <c r="C130" i="2"/>
  <c r="B130" i="2"/>
  <c r="C129" i="2"/>
  <c r="B129" i="2"/>
  <c r="C128" i="2"/>
  <c r="B128" i="2"/>
  <c r="C127" i="2"/>
  <c r="B127" i="2"/>
  <c r="C126" i="2"/>
  <c r="B126" i="2"/>
  <c r="C125" i="2"/>
  <c r="B125" i="2"/>
  <c r="C124" i="2"/>
  <c r="B124" i="2"/>
  <c r="B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8" i="2"/>
  <c r="C50" i="2"/>
  <c r="C51" i="2"/>
  <c r="C52" i="2"/>
  <c r="C53" i="2"/>
  <c r="C54" i="2"/>
  <c r="C55" i="2"/>
  <c r="C56" i="2"/>
  <c r="C57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34" i="2"/>
  <c r="C135" i="2"/>
  <c r="C137" i="2"/>
  <c r="C138" i="2"/>
  <c r="C139" i="2"/>
  <c r="C140" i="2"/>
  <c r="C141" i="2"/>
  <c r="C142" i="2"/>
  <c r="C143" i="2"/>
  <c r="C144" i="2"/>
  <c r="C145" i="2"/>
  <c r="C146" i="2"/>
  <c r="C147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8" i="2"/>
  <c r="B50" i="2"/>
  <c r="B51" i="2"/>
  <c r="B52" i="2"/>
  <c r="B53" i="2"/>
  <c r="B54" i="2"/>
  <c r="B55" i="2"/>
  <c r="B56" i="2"/>
  <c r="B57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34" i="2"/>
  <c r="B135" i="2"/>
  <c r="B137" i="2"/>
  <c r="B138" i="2"/>
  <c r="B139" i="2"/>
  <c r="B140" i="2"/>
  <c r="B141" i="2"/>
  <c r="B142" i="2"/>
  <c r="B143" i="2"/>
  <c r="B144" i="2"/>
  <c r="B145" i="2"/>
  <c r="B146" i="2"/>
  <c r="B147" i="2"/>
</calcChain>
</file>

<file path=xl/sharedStrings.xml><?xml version="1.0" encoding="utf-8"?>
<sst xmlns="http://schemas.openxmlformats.org/spreadsheetml/2006/main" count="670" uniqueCount="321">
  <si>
    <t xml:space="preserve">Radd-Group / RADD RF </t>
  </si>
  <si>
    <t>https://rdgit.lumenis.com/admin/projects/radd-group/RADD_RF</t>
  </si>
  <si>
    <t xml:space="preserve">Radd-Group / RADD Tip </t>
  </si>
  <si>
    <t>https://rdgit.lumenis.com/admin/projects/radd-group/RADD_Tip</t>
  </si>
  <si>
    <t xml:space="preserve">Hair-Growth-Group / Hair-Growth </t>
  </si>
  <si>
    <t>https://rdgit.lumenis.com/admin/projects/hair_growth_group/hair-growth</t>
  </si>
  <si>
    <t xml:space="preserve">Radd-Group / RADD STM </t>
  </si>
  <si>
    <t>https://rdgit.lumenis.com/admin/projects/radd-group/RADD_STM</t>
  </si>
  <si>
    <t xml:space="preserve">Opsworks-Group / Hair Growth </t>
  </si>
  <si>
    <t>https://rdgit.lumenis.com/admin/projects/opsworks-group/Hair-Growth</t>
  </si>
  <si>
    <t xml:space="preserve">LumenisX-Group / Distributed_Automation_Tester_Agent </t>
  </si>
  <si>
    <t>https://rdgit.lumenis.com/admin/projects/lumenisx-group/distributed_automation_tester_agent</t>
  </si>
  <si>
    <t xml:space="preserve">LumenisX-Group / FullAutomation </t>
  </si>
  <si>
    <t>https://rdgit.lumenis.com/admin/projects/lumenisx-group/LumenisX</t>
  </si>
  <si>
    <t xml:space="preserve">LumenisX-Group / LumenisX_API_Integration </t>
  </si>
  <si>
    <t>https://rdgit.lumenis.com/admin/projects/lumenisx-group/lumenisx_api_integration</t>
  </si>
  <si>
    <t xml:space="preserve">LumenisX-Group / Remote_Service_Client </t>
  </si>
  <si>
    <t>https://rdgit.lumenis.com/admin/projects/lumenisx-group/remote_service_client</t>
  </si>
  <si>
    <t xml:space="preserve">Idan Aviad / DigitalDuet </t>
  </si>
  <si>
    <t>https://rdgit.lumenis.com/admin/projects/idan/digitalduet</t>
  </si>
  <si>
    <t xml:space="preserve">Optalmic-Group / OptiLight_Automation_POC </t>
  </si>
  <si>
    <t>https://rdgit.lumenis.com/admin/projects/optalmic_group/optilight_automation_poc</t>
  </si>
  <si>
    <t xml:space="preserve">Skin-Diagnostic-Group / DMD_DLPC350_Driver_Dll_for_LabView </t>
  </si>
  <si>
    <t>https://rdgit.lumenis.com/admin/projects/Skin_Diagnostic_SW/dmd_dlpc350_driver_dll_for_labview</t>
  </si>
  <si>
    <t xml:space="preserve">Skin-Diagnostic-Group / FPGA SkinDiagnostic Board </t>
  </si>
  <si>
    <t>https://rdgit.lumenis.com/admin/projects/Skin_Diagnostic_SW/fpga-skindiagnostic-board</t>
  </si>
  <si>
    <t>Group/Repo</t>
  </si>
  <si>
    <t>Group</t>
  </si>
  <si>
    <t>Repo</t>
  </si>
  <si>
    <t>Link</t>
  </si>
  <si>
    <t>Owner</t>
  </si>
  <si>
    <t>Project</t>
  </si>
  <si>
    <t>New Org</t>
  </si>
  <si>
    <t xml:space="preserve">Algorithmic / data_management_algo </t>
  </si>
  <si>
    <t>https://rdgit.lumenis.com/admin/projects/algorithmic-group/data_management_algo</t>
  </si>
  <si>
    <t>Victor</t>
  </si>
  <si>
    <t>CSO</t>
  </si>
  <si>
    <t xml:space="preserve">AS-Group / AlgorithmWrapper </t>
  </si>
  <si>
    <t>https://rdgit.lumenis.com/admin/projects/as-group/algorithmwrapper</t>
  </si>
  <si>
    <t>Aviv</t>
  </si>
  <si>
    <t>LISA</t>
  </si>
  <si>
    <t xml:space="preserve">AS-Group / erithemapredictlib </t>
  </si>
  <si>
    <t>https://rdgit.lumenis.com/admin/projects/as-group/erithemapredictlib</t>
  </si>
  <si>
    <t xml:space="preserve">AS-Group / gst-add-algo-metadata </t>
  </si>
  <si>
    <t>https://rdgit.lumenis.com/admin/projects/as-group/gst-add-algo-metadata</t>
  </si>
  <si>
    <t xml:space="preserve">AS-Group / gst-addoverlay </t>
  </si>
  <si>
    <t>https://rdgit.lumenis.com/admin/projects/as-group/gst-addoverlay</t>
  </si>
  <si>
    <t xml:space="preserve">AS-Group / gst-cuda </t>
  </si>
  <si>
    <t>https://rdgit.lumenis.com/admin/projects/as-group/gst-cuda</t>
  </si>
  <si>
    <t xml:space="preserve">AS-Group / gst-custom-demux </t>
  </si>
  <si>
    <t>https://rdgit.lumenis.com/admin/projects/as-group/gst-custom-demux</t>
  </si>
  <si>
    <t xml:space="preserve">AS-Group / gst-deep-shallow-pigmentation </t>
  </si>
  <si>
    <t>https://rdgit.lumenis.com/admin/projects/as-group/gst-deep-shallow-pigmentation</t>
  </si>
  <si>
    <t xml:space="preserve">AS-Group / gst-estimate-pl-contrast </t>
  </si>
  <si>
    <t>https://rdgit.lumenis.com/admin/projects/as-group/gst-estimate-pl-contrast</t>
  </si>
  <si>
    <t xml:space="preserve">AS-Group / gst-hair-detect-model </t>
  </si>
  <si>
    <t>https://rdgit.lumenis.com/admin/projects/as-group/gst-hair-detect-model</t>
  </si>
  <si>
    <t xml:space="preserve">AS-Group / gst-image-processing </t>
  </si>
  <si>
    <t>https://rdgit.lumenis.com/admin/projects/as-group/gst-image-processing</t>
  </si>
  <si>
    <t xml:space="preserve">AS-Group / gst-maskoverlay </t>
  </si>
  <si>
    <t>https://rdgit.lumenis.com/admin/projects/as-group/gst-maskoverlay</t>
  </si>
  <si>
    <t xml:space="preserve">AS-Group / gst-melanin-map-visualization </t>
  </si>
  <si>
    <t>https://rdgit.lumenis.com/admin/projects/as-group/gst-melanin-map-visualization</t>
  </si>
  <si>
    <t xml:space="preserve">AS-Group / gst-melanin-prediction </t>
  </si>
  <si>
    <t>https://rdgit.lumenis.com/admin/projects/as-group/gst-melanin-prediction</t>
  </si>
  <si>
    <t xml:space="preserve">AS-Group / gst-muxbatch </t>
  </si>
  <si>
    <t>https://rdgit.lumenis.com/admin/projects/as-group/gst-muxbatch</t>
  </si>
  <si>
    <t xml:space="preserve">AS-Group / gst-muxtostream </t>
  </si>
  <si>
    <t>https://rdgit.lumenis.com/admin/projects/as-group/gst-muxtostream</t>
  </si>
  <si>
    <t xml:space="preserve">AS-Group / gst-pigment-contrast-test </t>
  </si>
  <si>
    <t>https://rdgit.lumenis.com/admin/projects/as-group/gst-pigment-contrast-test</t>
  </si>
  <si>
    <t xml:space="preserve">AS-Group / gst-reflect-maps </t>
  </si>
  <si>
    <t>https://rdgit.lumenis.com/admin/projects/as-group/gst-reflect-maps</t>
  </si>
  <si>
    <t xml:space="preserve">AS-Group / gst-rgb-compositor </t>
  </si>
  <si>
    <t>https://rdgit.lumenis.com/admin/projects/as-group/gst-rgb-compositor</t>
  </si>
  <si>
    <t xml:space="preserve">AS-Group / gst-save-results </t>
  </si>
  <si>
    <t>https://rdgit.lumenis.com/admin/projects/as-group/gst-save-results</t>
  </si>
  <si>
    <t xml:space="preserve">AS-Group / gst-skinTypePrediction </t>
  </si>
  <si>
    <t>https://rdgit.lumenis.com/admin/projects/as-group/gst-skintypeprediction</t>
  </si>
  <si>
    <t xml:space="preserve">AS-Group / gst-sqrt-filter </t>
  </si>
  <si>
    <t>https://rdgit.lumenis.com/admin/projects/as-group/gst-sqrt-filter</t>
  </si>
  <si>
    <t xml:space="preserve">AS-Group / gst-vein-mapper </t>
  </si>
  <si>
    <t>https://rdgit.lumenis.com/admin/projects/as-group/gst-vein-mapper</t>
  </si>
  <si>
    <t xml:space="preserve">AS-Group / gst-webrtc-wrapper </t>
  </si>
  <si>
    <t>https://rdgit.lumenis.com/admin/projects/as-group/gst-webrtc-wrapper</t>
  </si>
  <si>
    <t xml:space="preserve">AS-Group / gst-websocksink </t>
  </si>
  <si>
    <t>https://rdgit.lumenis.com/admin/projects/as-group/gst-websocksink</t>
  </si>
  <si>
    <t xml:space="preserve">AS-Group / gst-websocksink-sink-broker </t>
  </si>
  <si>
    <t>https://rdgit.lumenis.com/admin/projects/as-group/gst-websocksink-sink-broker</t>
  </si>
  <si>
    <t xml:space="preserve">AS-Group / gst-white-balance </t>
  </si>
  <si>
    <t>https://rdgit.lumenis.com/admin/projects/as-group/gst-white-balance</t>
  </si>
  <si>
    <t xml:space="preserve">AS-Group / HairDetectModelLib </t>
  </si>
  <si>
    <t>https://rdgit.lumenis.com/admin/projects/as-group/hairdetectmodellib</t>
  </si>
  <si>
    <t xml:space="preserve">AS-Group / MelaninPredictModlelLib </t>
  </si>
  <si>
    <t>https://rdgit.lumenis.com/admin/projects/as-group/melaninpredictlib</t>
  </si>
  <si>
    <t xml:space="preserve">AS-Group / nisko_securedbsp </t>
  </si>
  <si>
    <t>https://rdgit.lumenis.com/admin/projects/as-group/nisko_securedbsp</t>
  </si>
  <si>
    <t xml:space="preserve">AS-Group / npy_compare </t>
  </si>
  <si>
    <t>https://rdgit.lumenis.com/admin/projects/as-group/npy_compare</t>
  </si>
  <si>
    <t xml:space="preserve">AS-Group / nvds-gst-plugin-template </t>
  </si>
  <si>
    <t>https://rdgit.lumenis.com/admin/projects/as-group/nvds-gst-plugin-template</t>
  </si>
  <si>
    <t xml:space="preserve">AS-Group / OfflineAlgo </t>
  </si>
  <si>
    <t>https://rdgit.lumenis.com/admin/projects/as-group/offlinealgo</t>
  </si>
  <si>
    <t xml:space="preserve">AS-Group / OfflineAlgo_SendImagesToSharedMemory </t>
  </si>
  <si>
    <t>https://rdgit.lumenis.com/admin/projects/as-group/offlinealgo_sendimagestosharedmemory</t>
  </si>
  <si>
    <t xml:space="preserve">AS-Group / offlinealgoVerification </t>
  </si>
  <si>
    <t>https://rdgit.lumenis.com/admin/projects/as-group/offlinealgoverification</t>
  </si>
  <si>
    <t xml:space="preserve">AS-Group / PigmentContrastModelLib </t>
  </si>
  <si>
    <t>https://rdgit.lumenis.com/admin/projects/as-group/pigmentcontrastmodellib</t>
  </si>
  <si>
    <t xml:space="preserve">AS-Group / rapidjson-master </t>
  </si>
  <si>
    <t>https://rdgit.lumenis.com/admin/projects/as-group/rapidjson-master</t>
  </si>
  <si>
    <t xml:space="preserve">AS-Group / sc_algo_pipline_infrastructure </t>
  </si>
  <si>
    <t>https://rdgit.lumenis.com/admin/projects/as-group/sc_algo_pipline_infrastructure</t>
  </si>
  <si>
    <t xml:space="preserve">AS-Group / sc_gst-peek-calc </t>
  </si>
  <si>
    <t>https://rdgit.lumenis.com/admin/projects/as-group/sc_gst-peek-calc</t>
  </si>
  <si>
    <t xml:space="preserve">AS-Group / SC_gstreamer_plugins </t>
  </si>
  <si>
    <t>https://rdgit.lumenis.com/admin/projects/as-group/sc_gstreamer_plugins</t>
  </si>
  <si>
    <t xml:space="preserve">AS-Group / SkinDiag-RawData-Samples </t>
  </si>
  <si>
    <t>https://rdgit.lumenis.com/admin/projects/as-group/skindiag-rawdata-samples</t>
  </si>
  <si>
    <t xml:space="preserve">AS-Group / SkinTypeModelLib </t>
  </si>
  <si>
    <t>https://rdgit.lumenis.com/admin/projects/as-group/skintypemodellib</t>
  </si>
  <si>
    <t xml:space="preserve">AS-Group / smart-console-sw-build </t>
  </si>
  <si>
    <t>https://rdgit.lumenis.com/admin/projects/as-group/smart-console-sw-build</t>
  </si>
  <si>
    <t xml:space="preserve">AS-Group / VeinModelLib </t>
  </si>
  <si>
    <t>https://rdgit.lumenis.com/admin/projects/as-group/veinmodellib</t>
  </si>
  <si>
    <t xml:space="preserve">Automation-Group / UnifiedAutomation </t>
  </si>
  <si>
    <t>https://rdgit.lumenis.com/admin/projects/automation-group/unifiedautomation</t>
  </si>
  <si>
    <t xml:space="preserve">Boris Ashkinezer / Lumenis IPL Filter FW </t>
  </si>
  <si>
    <t>https://rdgit.lumenis.com/admin/projects/borisash/lumenis-ipl-filter-fw</t>
  </si>
  <si>
    <t xml:space="preserve">Boris Ashkinezer / Lumenis IPL Headboard FW </t>
  </si>
  <si>
    <t>https://rdgit.lumenis.com/admin/projects/borisash/lumenis-ipl-headboard</t>
  </si>
  <si>
    <t xml:space="preserve">Collaborator-Group / CollaboratorAutoReviewReport </t>
  </si>
  <si>
    <t>https://rdgit.lumenis.com/admin/projects/collaborator-group/collaboratorautoreviewreport</t>
  </si>
  <si>
    <t xml:space="preserve">Lumenis-Customer-App / silex-cors-provider </t>
  </si>
  <si>
    <t>https://github.com/jdesrosiers/silex-cors-provider</t>
  </si>
  <si>
    <t xml:space="preserve">Insight-Group / Insight </t>
  </si>
  <si>
    <t>https://rdgit.lumenis.com/admin/projects/insight-group/Insight</t>
  </si>
  <si>
    <t xml:space="preserve">Leo-Group / Leo </t>
  </si>
  <si>
    <t>https://rdgit.lumenis.com/admin/projects/leo-group/Leo</t>
  </si>
  <si>
    <t>Ilan</t>
  </si>
  <si>
    <t>Unified</t>
  </si>
  <si>
    <t xml:space="preserve">Lumenis Ophthalmic Awesome SW Group / DigitalDuet </t>
  </si>
  <si>
    <t>https://rdgit.lumenis.com/admin/projects/lumenis-ophthalmic-awesome-sw-group/digitalduet</t>
  </si>
  <si>
    <t xml:space="preserve">Lumenis Ophthalmic Awesome SW Group / OptiLight </t>
  </si>
  <si>
    <t>https://rdgit.lumenis.com/admin/projects/lumenis-ophthalmic-awesome-sw-group/optilight</t>
  </si>
  <si>
    <t xml:space="preserve">Lumenis Ophthalmic Awesome SW Group / OptiLight_5_06 </t>
  </si>
  <si>
    <t>https://rdgit.lumenis.com/admin/projects/lumenis-ophthalmic-awesome-sw-group/optilight_5_06</t>
  </si>
  <si>
    <t xml:space="preserve">Lumenis Ophthalmic Awesome SW Group / OptiLight_5_07 </t>
  </si>
  <si>
    <t>https://rdgit.lumenis.com/admin/projects/lumenis-ophthalmic-awesome-sw-group/optilight_5_07</t>
  </si>
  <si>
    <t xml:space="preserve">Lumenis-Customer-App / Be Lumenis Dev </t>
  </si>
  <si>
    <t>https://rdgit.lumenis.com/admin/projects/lumenis-customer-App/be_lumenis_dev</t>
  </si>
  <si>
    <t xml:space="preserve">Lumenis-Customer-App / Cms </t>
  </si>
  <si>
    <t>https://rdgit.lumenis.com/admin/projects/lumenis-customer-App/cms</t>
  </si>
  <si>
    <t xml:space="preserve">Lumenis-Customer-App / Core </t>
  </si>
  <si>
    <t>https://rdgit.lumenis.com/admin/projects/lumenis-customer-App/core</t>
  </si>
  <si>
    <t xml:space="preserve">Lumenis-Customer-App / DB Queries </t>
  </si>
  <si>
    <t>https://rdgit.lumenis.com/admin/projects/lumenis-customer-App/db-queries</t>
  </si>
  <si>
    <t xml:space="preserve">Lumenis-Customer-App / Db-Sync-Scripts </t>
  </si>
  <si>
    <t>https://rdgit.lumenis.com/admin/projects/lumenis-customer-App/db-sync-scripts</t>
  </si>
  <si>
    <t xml:space="preserve">Lumenis-Customer-App / Delta Angular </t>
  </si>
  <si>
    <t>https://rdgit.lumenis.com/admin/projects/lumenis-customer-App/delta-angular</t>
  </si>
  <si>
    <t xml:space="preserve">Lumenis-Customer-App / Delta Dashboard Angular </t>
  </si>
  <si>
    <t>https://rdgit.lumenis.com/admin/projects/lumenis-customer-App/delta-dashboard-angular</t>
  </si>
  <si>
    <t xml:space="preserve">Lumenis-Customer-App / Fe Lumenis Dev </t>
  </si>
  <si>
    <t>https://rdgit.lumenis.com/admin/projects/lumenis-customer-App/fe_lumenis_dev</t>
  </si>
  <si>
    <t xml:space="preserve">Lumenis-Customer-App / Generic Bundle Account </t>
  </si>
  <si>
    <t>https://rdgit.lumenis.com/admin/projects/lumenis-customer-App/generic-bundle-account</t>
  </si>
  <si>
    <t xml:space="preserve">Lumenis-Customer-App / Generic Bundle Admin </t>
  </si>
  <si>
    <t>https://rdgit.lumenis.com/admin/projects/lumenis-customer-App/generic-bundle-admin</t>
  </si>
  <si>
    <t xml:space="preserve">Lumenis-Customer-App / Generic Bundle Authority </t>
  </si>
  <si>
    <t>https://rdgit.lumenis.com/admin/projects/lumenis-customer-App/generic-bundle-authority</t>
  </si>
  <si>
    <t xml:space="preserve">Lumenis-Customer-App / Generic Bundle Cart </t>
  </si>
  <si>
    <t>https://rdgit.lumenis.com/admin/projects/lumenis-customer-App/generic-bundle-cart</t>
  </si>
  <si>
    <t xml:space="preserve">Lumenis-Customer-App / Generic Bundle Common </t>
  </si>
  <si>
    <t>https://rdgit.lumenis.com/admin/projects/lumenis-customer-App/generic-bundle-common</t>
  </si>
  <si>
    <t xml:space="preserve">Lumenis-Customer-App / Generic Bundle Entity </t>
  </si>
  <si>
    <t>https://rdgit.lumenis.com/admin/projects/lumenis-customer-App/generic-bundle-entity</t>
  </si>
  <si>
    <t xml:space="preserve">Lumenis-Customer-App / Generic Bundle Features </t>
  </si>
  <si>
    <t>https://rdgit.lumenis.com/admin/projects/lumenis-customer-App/generic-bundle-features</t>
  </si>
  <si>
    <t xml:space="preserve">Lumenis-Customer-App / Generic Bundle Forms </t>
  </si>
  <si>
    <t>https://rdgit.lumenis.com/admin/projects/lumenis-customer-App/generic-bundle-forms</t>
  </si>
  <si>
    <t xml:space="preserve">Lumenis-Customer-App / Generic Bundle Menu </t>
  </si>
  <si>
    <t>https://rdgit.lumenis.com/admin/projects/lumenis-customer-App/generic-bundle-menu</t>
  </si>
  <si>
    <t xml:space="preserve">Lumenis-Customer-App / Generic Bundle Organization </t>
  </si>
  <si>
    <t>https://rdgit.lumenis.com/admin/projects/lumenis-customer-App/generic-bundle-organization</t>
  </si>
  <si>
    <t xml:space="preserve">Lumenis-Customer-App / Generic Bundle Product </t>
  </si>
  <si>
    <t>https://rdgit.lumenis.com/admin/projects/lumenis-customer-App/generic-bundle-product</t>
  </si>
  <si>
    <t xml:space="preserve">Lumenis-Customer-App / Generic Bundle User </t>
  </si>
  <si>
    <t>https://rdgit.lumenis.com/admin/projects/lumenis-customer-App/generic-bundle-user</t>
  </si>
  <si>
    <t xml:space="preserve">Lumenis-Customer-App / generuc-bundle-menu </t>
  </si>
  <si>
    <t>https://rdgit.lumenis.com/admin/projects/lumenis-customer-App/generuc-bundle-menu</t>
  </si>
  <si>
    <t xml:space="preserve">Lumenis-Customer-App / Http Cache Bundle </t>
  </si>
  <si>
    <t>https://rdgit.lumenis.com/admin/projects/lumenis-customer-App/http-cache-bundle</t>
  </si>
  <si>
    <t xml:space="preserve">Lumenis-Customer-App / Identifier </t>
  </si>
  <si>
    <t>https://rdgit.lumenis.com/admin/projects/lumenis-customer-App/identifier</t>
  </si>
  <si>
    <t xml:space="preserve">Lumenis-Customer-App / Language </t>
  </si>
  <si>
    <t>https://rdgit.lumenis.com/admin/projects/lumenis-customer-App/language</t>
  </si>
  <si>
    <t xml:space="preserve">Lumenis-Customer-App / Local Infrastructure </t>
  </si>
  <si>
    <t>https://rdgit.lumenis.com/admin/projects/lumenis-customer-App/local-infrastructure</t>
  </si>
  <si>
    <t xml:space="preserve">Lumenis-Customer-App / Lumenis Next Gen Back-end </t>
  </si>
  <si>
    <t>https://rdgit.lumenis.com/admin/projects/lumenis-customer-App/Next_Gen</t>
  </si>
  <si>
    <t xml:space="preserve">Lumenis-Customer-App / Lumenis Nssm </t>
  </si>
  <si>
    <t>https://rdgit.lumenis.com/admin/projects/lumenis-customer-App/lumenis-nssm</t>
  </si>
  <si>
    <t xml:space="preserve">Lumenis-Customer-App / Manifest </t>
  </si>
  <si>
    <t>https://rdgit.lumenis.com/admin/projects/lumenis-customer-App/manifest</t>
  </si>
  <si>
    <t xml:space="preserve">Lumenis-Customer-App / menu </t>
  </si>
  <si>
    <t>https://rdgit.lumenis.com/admin/projects/lumenis-customer-App/menu</t>
  </si>
  <si>
    <t xml:space="preserve">Lumenis-Customer-App / Next Gen Backoffice Frontend </t>
  </si>
  <si>
    <t>https://rdgit.lumenis.com/admin/projects/lumenis-customer-App/Next_Gen_Backoffice_Frontend</t>
  </si>
  <si>
    <t xml:space="preserve">Lumenis-Customer-App / Next Gen Customer App </t>
  </si>
  <si>
    <t>https://rdgit.lumenis.com/admin/projects/lumenis-customer-App/next-gen-customer-app</t>
  </si>
  <si>
    <t xml:space="preserve">Lumenis-Customer-App / Query Table </t>
  </si>
  <si>
    <t>https://rdgit.lumenis.com/admin/projects/lumenis-customer-App/query-table</t>
  </si>
  <si>
    <t xml:space="preserve">Lumenis-Customer-App / server-configuration </t>
  </si>
  <si>
    <t>https://rdgit.lumenis.com/admin/projects/lumenis-customer-App/server-configuration</t>
  </si>
  <si>
    <t>https://rdgit.lumenis.com/admin/projects/lumenis-customer-App/silex-cors-provider</t>
  </si>
  <si>
    <t xml:space="preserve">Lumenis-Customer-App / silex-cors-provider-test </t>
  </si>
  <si>
    <t>https://rdgit.lumenis.com/admin/projects/lumenis-customer-App/silex-cors-provider-test</t>
  </si>
  <si>
    <t xml:space="preserve">Lumenis-Customer-App / Simplesamlphp Module Sigmodule </t>
  </si>
  <si>
    <t>https://rdgit.lumenis.com/admin/projects/lumenis-customer-App/simplesamlphp-module-sigmodule</t>
  </si>
  <si>
    <t xml:space="preserve">Lumenis-Customer-App / Sys Lumenis Dev </t>
  </si>
  <si>
    <t>https://rdgit.lumenis.com/admin/projects/lumenis-customer-App/sys_lumenis_dev</t>
  </si>
  <si>
    <t xml:space="preserve">Lumenis-Customer-App-Clean / Customer App Clean </t>
  </si>
  <si>
    <t>https://rdgit.lumenis.com/admin/projects/Lumenis-Customer-App-Clean/Customer-App-Clean</t>
  </si>
  <si>
    <t>Moran</t>
  </si>
  <si>
    <t>LumenisX</t>
  </si>
  <si>
    <t xml:space="preserve">LumenisX-Group / Distributed_Automation_Tester_Center </t>
  </si>
  <si>
    <t>https://rdgit.lumenis.com/admin/projects/lumenisx-group/distributed_automation_tester_center</t>
  </si>
  <si>
    <t xml:space="preserve">LumenisX-Group / Eventviewer </t>
  </si>
  <si>
    <t>https://rdgit.lumenis.com/admin/projects/lumenisx-group/eventviewer</t>
  </si>
  <si>
    <t xml:space="preserve">LumenisX-Group / LumenisX All Platforms </t>
  </si>
  <si>
    <t>https://rdgit.lumenis.com/admin/projects/lumenisx-group/LumenisX_All_Platforms</t>
  </si>
  <si>
    <t xml:space="preserve">LumenisX-Group / RemoteService_SRC </t>
  </si>
  <si>
    <t>https://rdgit.lumenis.com/admin/projects/lumenisx-group/remoteservice_src</t>
  </si>
  <si>
    <t xml:space="preserve">LumenisX-Group / WebAutomation </t>
  </si>
  <si>
    <t>https://rdgit.lumenis.com/admin/projects/lumenisx-group/webautomation</t>
  </si>
  <si>
    <t xml:space="preserve">NetworkCommunicator-Group / NetworkCommunicator </t>
  </si>
  <si>
    <t>https://rdgit.lumenis.com/admin/projects/networkcommunicator-group/NetworkCommunicator</t>
  </si>
  <si>
    <t>NC</t>
  </si>
  <si>
    <t xml:space="preserve">Opsworks-Group / devops-nsis </t>
  </si>
  <si>
    <t>https://rdgit.lumenis.com/admin/projects/opsworks-group/devops-nsis</t>
  </si>
  <si>
    <t xml:space="preserve">Opsworks-Group / Jenkins-Dashboard </t>
  </si>
  <si>
    <t>https://rdgit.lumenis.com/admin/projects/opsworks-group/jenkins-dashboard</t>
  </si>
  <si>
    <t xml:space="preserve">Optalmic-Group / HudProject </t>
  </si>
  <si>
    <t>https://rdgit.lumenis.com/admin/projects/optalmic_group/hudproject</t>
  </si>
  <si>
    <t xml:space="preserve">Optalmic-Group / HudProject 2 </t>
  </si>
  <si>
    <t>https://rdgit.lumenis.com/admin/projects/optalmic_group/hudproject-2</t>
  </si>
  <si>
    <t xml:space="preserve">Quattro-Group / Quattro </t>
  </si>
  <si>
    <t>https://rdgit.lumenis.com/admin/projects/Quattro-Group/quattro</t>
  </si>
  <si>
    <t>Ruby</t>
  </si>
  <si>
    <t>quattro</t>
  </si>
  <si>
    <t xml:space="preserve">Radd-Group / MOXXTip </t>
  </si>
  <si>
    <t>https://rdgit.lumenis.com/admin/projects/radd-group/MOXXTip</t>
  </si>
  <si>
    <t>RADD</t>
  </si>
  <si>
    <t xml:space="preserve">Radd-Group / RADD FPGA </t>
  </si>
  <si>
    <t>https://rdgit.lumenis.com/admin/projects/radd-group/RADD_FPGA</t>
  </si>
  <si>
    <t xml:space="preserve">Radd-Group / RADDPh3 </t>
  </si>
  <si>
    <t>https://rdgit.lumenis.com/admin/projects/radd-group/RADDPh3</t>
  </si>
  <si>
    <t xml:space="preserve">Sergey-Group / Devops </t>
  </si>
  <si>
    <t>https://rdgit.lumenis.com/admin/projects/sergey-group/Devops</t>
  </si>
  <si>
    <t xml:space="preserve">Sergey-Group / Devops N </t>
  </si>
  <si>
    <t>https://rdgit.lumenis.com/admin/projects/sergey-group/Devops_N</t>
  </si>
  <si>
    <t xml:space="preserve">Sergey-Group / JenkinsCI_CD </t>
  </si>
  <si>
    <t>https://rdgit.lumenis.com/admin/projects/sergey-group/jenkinsci_cd</t>
  </si>
  <si>
    <t xml:space="preserve">Sergey-Group / Skin Diagnostik Docker </t>
  </si>
  <si>
    <t>https://rdgit.lumenis.com/admin/projects/sergey-group/skin_diagnostik_docker</t>
  </si>
  <si>
    <t xml:space="preserve">Sharp-Devops-Group / Devops </t>
  </si>
  <si>
    <t>https://rdgit.lumenis.com/admin/projects/sharp-devops-group/devops</t>
  </si>
  <si>
    <t xml:space="preserve">Skin-Diagnostic-Group / AlgoGstreamerSW </t>
  </si>
  <si>
    <t>https://rdgit.lumenis.com/admin/projects/Skin_Diagnostic_SW/algogstreamersw</t>
  </si>
  <si>
    <t xml:space="preserve">Skin-Diagnostic-Group / aws-dynamodb-react-app-test </t>
  </si>
  <si>
    <t>https://rdgit.lumenis.com/admin/projects/Skin_Diagnostic_SW/aws-dynamodb-react-app-test</t>
  </si>
  <si>
    <t>Bagrat</t>
  </si>
  <si>
    <t xml:space="preserve">Skin-Diagnostic-Group / FL_GUI_SkinDiagnostic </t>
  </si>
  <si>
    <t>https://rdgit.lumenis.com/admin/projects/Skin_Diagnostic_SW/fl_gui_skindiagnostic</t>
  </si>
  <si>
    <t xml:space="preserve">Skin-Diagnostic-Group / ImagingModule_SkinDiagnostic </t>
  </si>
  <si>
    <t>https://rdgit.lumenis.com/admin/projects/Skin_Diagnostic_SW/imagingmodule_skindiagnostic</t>
  </si>
  <si>
    <t xml:space="preserve">Skin-Diagnostic-Group / ImagingModuleExec Skin-Diagnostic </t>
  </si>
  <si>
    <t>https://rdgit.lumenis.com/admin/projects/Skin_Diagnostic_SW/imagingmoduleexec-skin-diagnostic</t>
  </si>
  <si>
    <t xml:space="preserve">Skin-Diagnostic-Group / SC_FlowManager </t>
  </si>
  <si>
    <t>https://rdgit.lumenis.com/admin/projects/Skin_Diagnostic_SW/sc_flowmanager</t>
  </si>
  <si>
    <t xml:space="preserve">Skin-Diagnostic-Group / Smart-Console GUI Components </t>
  </si>
  <si>
    <t>https://rdgit.lumenis.com/admin/projects/Skin_Diagnostic_SW/smart-console-gui-components</t>
  </si>
  <si>
    <t xml:space="preserve">Skin-Diagnostic-Group / SmartIPL_SW_OSImage </t>
  </si>
  <si>
    <t>https://rdgit.lumenis.com/admin/projects/Skin_Diagnostic_SW/smartipl_sw_osimage</t>
  </si>
  <si>
    <t xml:space="preserve">Skin-Diagnostic-Group / SplendorX Algorithm Skin-Diagnostic </t>
  </si>
  <si>
    <t>https://rdgit.lumenis.com/admin/projects/Skin_Diagnostic_SW/splendorx-algorithm-skin-diagnostic</t>
  </si>
  <si>
    <t xml:space="preserve">Stellar-Group / Stellar </t>
  </si>
  <si>
    <t>https://rdgit.lumenis.com/admin/projects/stellar-group/stellar</t>
  </si>
  <si>
    <t xml:space="preserve">Stellar-Group / Stellar 5 02 </t>
  </si>
  <si>
    <t>https://rdgit.lumenis.com/admin/projects/stellar-group/Stellar_5_02</t>
  </si>
  <si>
    <t xml:space="preserve">Stellar-Group / Stellar Cso </t>
  </si>
  <si>
    <t>https://rdgit.lumenis.com/admin/projects/stellar-group/stellar_cso</t>
  </si>
  <si>
    <t xml:space="preserve">Stellar-Group / Stellar_HG </t>
  </si>
  <si>
    <t>https://rdgit.lumenis.com/admin/projects/stellar-group/stellar-hg</t>
  </si>
  <si>
    <t xml:space="preserve">UltraPulse-Group / Ultrapulse </t>
  </si>
  <si>
    <t>https://rdgit.lumenis.com/admin/projects/ultrapulse_group/ultrapulse</t>
  </si>
  <si>
    <t xml:space="preserve">Unified-Group / Lisa </t>
  </si>
  <si>
    <t>https://rdgit.lumenis.com/admin/projects/unified-group/lisa</t>
  </si>
  <si>
    <t xml:space="preserve">Unified-Group / MAP_RF </t>
  </si>
  <si>
    <t>https://rdgit.lumenis.com/admin/projects/unified-group/map_rf</t>
  </si>
  <si>
    <t xml:space="preserve">Unified-Group / Milan </t>
  </si>
  <si>
    <t>https://rdgit.lumenis.com/admin/projects/unified-group/Milan</t>
  </si>
  <si>
    <t xml:space="preserve">Unified-Group / Stellar_Unified </t>
  </si>
  <si>
    <t>https://rdgit.lumenis.com/admin/projects/unified-group/stellar_unified</t>
  </si>
  <si>
    <t xml:space="preserve">Unified-Group / Unified </t>
  </si>
  <si>
    <t>https://rdgit.lumenis.com/admin/projects/unified-group/unified</t>
  </si>
  <si>
    <t xml:space="preserve">Victor Boskovitz / AlgoResearch </t>
  </si>
  <si>
    <t>https://rdgit.lumenis.com/admin/projects/victor/algoresearch</t>
  </si>
  <si>
    <t>Vision</t>
  </si>
  <si>
    <t>Aesthetics</t>
  </si>
  <si>
    <t>Wiz Platform</t>
  </si>
  <si>
    <t>Roy</t>
  </si>
  <si>
    <t>Idan</t>
  </si>
  <si>
    <t xml:space="preserve">Skin-Diagnostic-Group / SmartIPL Algorithm Skin-Diagnostic-GroupSmartIPL Algorithm </t>
  </si>
  <si>
    <t>https://rdgit.lumenis.com/admin/projects/Skin_Diagnostic_SW/SmartIPL_Algorithm</t>
  </si>
  <si>
    <t>New repo name</t>
  </si>
  <si>
    <t>DigitalDuetV2</t>
  </si>
  <si>
    <t>DigitalDuetV3</t>
  </si>
  <si>
    <t>CustomerApp</t>
  </si>
  <si>
    <t>SkinDiagnostics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</si>
</sst>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NumberForma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D4D423-4524-4AB9-8E2F-2466E5AB8D75}" name="Table1" displayName="Table1" ref="A1:H147" totalsRowShown="0">
  <autoFilter ref="A1:H147" xr:uid="{AAD4D423-4524-4AB9-8E2F-2466E5AB8D75}"/>
  <sortState xmlns:xlrd2="http://schemas.microsoft.com/office/spreadsheetml/2017/richdata2" ref="A2:G147">
    <sortCondition ref="B1:B147"/>
  </sortState>
  <tableColumns count="8">
    <tableColumn id="1" xr3:uid="{5F8F70B2-B235-463F-A123-51BCF5E5B5FF}" name="Group/Repo"/>
    <tableColumn id="7" xr3:uid="{33D9EED4-90C3-4074-B366-C0CA344A2B3D}" name="Group" dataDxfId="2">
      <calculatedColumnFormula>LEFT(A2,FIND(" / ",A2)-1)</calculatedColumnFormula>
    </tableColumn>
    <tableColumn id="6" xr3:uid="{1536A429-1130-4C6C-96FF-49BEA314C94F}" name="Repo" dataDxfId="1">
      <calculatedColumnFormula>RIGHT(A2, LEN(A2) - FIND(" / ", A2) - 2)</calculatedColumnFormula>
    </tableColumn>
    <tableColumn id="2" xr3:uid="{FF9D074A-B96B-4549-B32C-73D5FB17277F}" name="Link"/>
    <tableColumn id="3" xr3:uid="{287BDAAF-F2A1-400D-B2BF-3C17E410A0FA}" name="Owner"/>
    <tableColumn id="5" xr3:uid="{CEADFB23-0966-42AA-AC78-D8C8206809E1}" name="Project"/>
    <tableColumn id="8" xr3:uid="{A08B633C-D305-4EFF-A71E-4477B0DED599}" name="New Org"/>
    <tableColumn id="4" xr3:uid="{E79C54B5-732C-4F3D-BACE-498FB1D587AE}" name="New repo na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rdgit.lumenis.com/admin/projects/hair_growth_group/hair-growth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rdgit.lumenis.com/admin/projects/Quattro-Group/quattro" TargetMode="External"/><Relationship Id="rId1" Type="http://schemas.openxmlformats.org/officeDocument/2006/relationships/hyperlink" Target="https://rdgit.lumenis.com/admin/projects/opsworks-group/Leo" TargetMode="External"/><Relationship Id="rId6" Type="http://schemas.openxmlformats.org/officeDocument/2006/relationships/hyperlink" Target="https://rdgit.lumenis.com/admin/projects/algorithmic-group/data_management_algo" TargetMode="External"/><Relationship Id="rId5" Type="http://schemas.openxmlformats.org/officeDocument/2006/relationships/hyperlink" Target="https://rdgit.lumenis.com/admin/projects/Skin_Diagnostic_SW/SmartIPL_Algorithm" TargetMode="External"/><Relationship Id="rId4" Type="http://schemas.openxmlformats.org/officeDocument/2006/relationships/hyperlink" Target="https://rdgit.lumenis.com/admin/projects/insight-group/Insigh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D9070-A705-471F-B3E4-327D9740E597}">
  <sheetPr codeName="Sheet2"/>
  <dimension ref="A1:H147"/>
  <sheetViews>
    <sheetView tabSelected="1" zoomScaleNormal="100" workbookViewId="0">
      <pane ySplit="1" topLeftCell="A119" activePane="bottomLeft" state="frozen"/>
      <selection pane="bottomLeft" activeCell="G147" sqref="G147"/>
    </sheetView>
  </sheetViews>
  <sheetFormatPr defaultRowHeight="15" x14ac:dyDescent="0.25"/>
  <cols>
    <col min="1" max="1" width="52" customWidth="1"/>
    <col min="2" max="2" width="38.140625" bestFit="1" customWidth="1"/>
    <col min="3" max="3" width="31.7109375" customWidth="1"/>
    <col min="4" max="4" width="67.5703125" customWidth="1"/>
    <col min="5" max="5" width="9.140625" bestFit="1" customWidth="1"/>
    <col min="6" max="6" width="9.7109375" bestFit="1" customWidth="1"/>
    <col min="7" max="7" width="22.85546875" bestFit="1" customWidth="1"/>
  </cols>
  <sheetData>
    <row r="1" spans="1:8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316</v>
      </c>
    </row>
    <row r="2" spans="1:8" x14ac:dyDescent="0.25">
      <c r="A2" t="s">
        <v>33</v>
      </c>
      <c r="B2" t="str">
        <f>LEFT(A2,FIND(" / ",A2)-1)</f>
        <v>Algorithmic</v>
      </c>
      <c r="C2" t="str">
        <f>RIGHT(A2, LEN(A2) - FIND(" / ", A2) - 2)</f>
        <v xml:space="preserve">data_management_algo </v>
      </c>
      <c r="D2" s="1" t="s">
        <v>34</v>
      </c>
      <c r="E2" t="s">
        <v>35</v>
      </c>
      <c r="F2" t="s">
        <v>36</v>
      </c>
      <c r="G2" t="s">
        <v>320</v>
      </c>
    </row>
    <row r="3" spans="1:8" x14ac:dyDescent="0.25">
      <c r="A3" t="s">
        <v>37</v>
      </c>
      <c r="B3" t="str">
        <f>LEFT(A3,FIND(" / ",A3)-1)</f>
        <v>AS-Group</v>
      </c>
      <c r="C3" t="str">
        <f>RIGHT(A3, LEN(A3) - FIND(" / ", A3) - 2)</f>
        <v xml:space="preserve">AlgorithmWrapper </v>
      </c>
      <c r="D3" t="s">
        <v>38</v>
      </c>
      <c r="E3" t="s">
        <v>39</v>
      </c>
      <c r="F3" t="s">
        <v>40</v>
      </c>
      <c r="G3" t="s">
        <v>320</v>
      </c>
    </row>
    <row r="4" spans="1:8" x14ac:dyDescent="0.25">
      <c r="A4" t="s">
        <v>41</v>
      </c>
      <c r="B4" t="str">
        <f>LEFT(A4,FIND(" / ",A4)-1)</f>
        <v>AS-Group</v>
      </c>
      <c r="C4" t="str">
        <f>RIGHT(A4, LEN(A4) - FIND(" / ", A4) - 2)</f>
        <v xml:space="preserve">erithemapredictlib </v>
      </c>
      <c r="D4" t="s">
        <v>42</v>
      </c>
      <c r="E4" t="s">
        <v>39</v>
      </c>
      <c r="F4" t="s">
        <v>40</v>
      </c>
      <c r="G4" t="s">
        <v>320</v>
      </c>
    </row>
    <row r="5" spans="1:8" x14ac:dyDescent="0.25">
      <c r="A5" t="s">
        <v>43</v>
      </c>
      <c r="B5" t="str">
        <f>LEFT(A5,FIND(" / ",A5)-1)</f>
        <v>AS-Group</v>
      </c>
      <c r="C5" t="str">
        <f>RIGHT(A5, LEN(A5) - FIND(" / ", A5) - 2)</f>
        <v xml:space="preserve">gst-add-algo-metadata </v>
      </c>
      <c r="D5" t="s">
        <v>44</v>
      </c>
      <c r="E5" t="s">
        <v>39</v>
      </c>
      <c r="F5" t="s">
        <v>40</v>
      </c>
      <c r="G5" t="s">
        <v>320</v>
      </c>
    </row>
    <row r="6" spans="1:8" x14ac:dyDescent="0.25">
      <c r="A6" t="s">
        <v>45</v>
      </c>
      <c r="B6" t="str">
        <f>LEFT(A6,FIND(" / ",A6)-1)</f>
        <v>AS-Group</v>
      </c>
      <c r="C6" t="str">
        <f>RIGHT(A6, LEN(A6) - FIND(" / ", A6) - 2)</f>
        <v xml:space="preserve">gst-addoverlay </v>
      </c>
      <c r="D6" t="s">
        <v>46</v>
      </c>
      <c r="E6" t="s">
        <v>39</v>
      </c>
      <c r="F6" t="s">
        <v>40</v>
      </c>
      <c r="G6" t="s">
        <v>320</v>
      </c>
    </row>
    <row r="7" spans="1:8" x14ac:dyDescent="0.25">
      <c r="A7" t="s">
        <v>47</v>
      </c>
      <c r="B7" t="str">
        <f>LEFT(A7,FIND(" / ",A7)-1)</f>
        <v>AS-Group</v>
      </c>
      <c r="C7" t="str">
        <f>RIGHT(A7, LEN(A7) - FIND(" / ", A7) - 2)</f>
        <v xml:space="preserve">gst-cuda </v>
      </c>
      <c r="D7" t="s">
        <v>48</v>
      </c>
      <c r="E7" t="s">
        <v>39</v>
      </c>
      <c r="F7" t="s">
        <v>40</v>
      </c>
      <c r="G7" t="s">
        <v>320</v>
      </c>
    </row>
    <row r="8" spans="1:8" x14ac:dyDescent="0.25">
      <c r="A8" t="s">
        <v>49</v>
      </c>
      <c r="B8" t="str">
        <f>LEFT(A8,FIND(" / ",A8)-1)</f>
        <v>AS-Group</v>
      </c>
      <c r="C8" t="str">
        <f>RIGHT(A8, LEN(A8) - FIND(" / ", A8) - 2)</f>
        <v xml:space="preserve">gst-custom-demux </v>
      </c>
      <c r="D8" t="s">
        <v>50</v>
      </c>
      <c r="E8" t="s">
        <v>39</v>
      </c>
      <c r="F8" t="s">
        <v>40</v>
      </c>
      <c r="G8" t="s">
        <v>320</v>
      </c>
    </row>
    <row r="9" spans="1:8" x14ac:dyDescent="0.25">
      <c r="A9" t="s">
        <v>51</v>
      </c>
      <c r="B9" t="str">
        <f>LEFT(A9,FIND(" / ",A9)-1)</f>
        <v>AS-Group</v>
      </c>
      <c r="C9" t="str">
        <f>RIGHT(A9, LEN(A9) - FIND(" / ", A9) - 2)</f>
        <v xml:space="preserve">gst-deep-shallow-pigmentation </v>
      </c>
      <c r="D9" t="s">
        <v>52</v>
      </c>
      <c r="E9" t="s">
        <v>39</v>
      </c>
      <c r="F9" t="s">
        <v>40</v>
      </c>
      <c r="G9" t="s">
        <v>320</v>
      </c>
    </row>
    <row r="10" spans="1:8" x14ac:dyDescent="0.25">
      <c r="A10" t="s">
        <v>53</v>
      </c>
      <c r="B10" t="str">
        <f>LEFT(A10,FIND(" / ",A10)-1)</f>
        <v>AS-Group</v>
      </c>
      <c r="C10" t="str">
        <f>RIGHT(A10, LEN(A10) - FIND(" / ", A10) - 2)</f>
        <v xml:space="preserve">gst-estimate-pl-contrast </v>
      </c>
      <c r="D10" t="s">
        <v>54</v>
      </c>
      <c r="E10" t="s">
        <v>39</v>
      </c>
      <c r="F10" t="s">
        <v>40</v>
      </c>
      <c r="G10" t="s">
        <v>320</v>
      </c>
    </row>
    <row r="11" spans="1:8" x14ac:dyDescent="0.25">
      <c r="A11" t="s">
        <v>55</v>
      </c>
      <c r="B11" t="str">
        <f>LEFT(A11,FIND(" / ",A11)-1)</f>
        <v>AS-Group</v>
      </c>
      <c r="C11" t="str">
        <f>RIGHT(A11, LEN(A11) - FIND(" / ", A11) - 2)</f>
        <v xml:space="preserve">gst-hair-detect-model </v>
      </c>
      <c r="D11" t="s">
        <v>56</v>
      </c>
      <c r="E11" t="s">
        <v>39</v>
      </c>
      <c r="F11" t="s">
        <v>40</v>
      </c>
      <c r="G11" t="s">
        <v>320</v>
      </c>
    </row>
    <row r="12" spans="1:8" x14ac:dyDescent="0.25">
      <c r="A12" t="s">
        <v>57</v>
      </c>
      <c r="B12" t="str">
        <f>LEFT(A12,FIND(" / ",A12)-1)</f>
        <v>AS-Group</v>
      </c>
      <c r="C12" t="str">
        <f>RIGHT(A12, LEN(A12) - FIND(" / ", A12) - 2)</f>
        <v xml:space="preserve">gst-image-processing </v>
      </c>
      <c r="D12" t="s">
        <v>58</v>
      </c>
      <c r="E12" t="s">
        <v>39</v>
      </c>
      <c r="F12" t="s">
        <v>40</v>
      </c>
      <c r="G12" t="s">
        <v>320</v>
      </c>
    </row>
    <row r="13" spans="1:8" x14ac:dyDescent="0.25">
      <c r="A13" t="s">
        <v>59</v>
      </c>
      <c r="B13" t="str">
        <f>LEFT(A13,FIND(" / ",A13)-1)</f>
        <v>AS-Group</v>
      </c>
      <c r="C13" t="str">
        <f>RIGHT(A13, LEN(A13) - FIND(" / ", A13) - 2)</f>
        <v xml:space="preserve">gst-maskoverlay </v>
      </c>
      <c r="D13" t="s">
        <v>60</v>
      </c>
      <c r="E13" t="s">
        <v>39</v>
      </c>
      <c r="F13" t="s">
        <v>40</v>
      </c>
      <c r="G13" t="s">
        <v>320</v>
      </c>
    </row>
    <row r="14" spans="1:8" x14ac:dyDescent="0.25">
      <c r="A14" t="s">
        <v>61</v>
      </c>
      <c r="B14" t="str">
        <f>LEFT(A14,FIND(" / ",A14)-1)</f>
        <v>AS-Group</v>
      </c>
      <c r="C14" t="str">
        <f>RIGHT(A14, LEN(A14) - FIND(" / ", A14) - 2)</f>
        <v xml:space="preserve">gst-melanin-map-visualization </v>
      </c>
      <c r="D14" t="s">
        <v>62</v>
      </c>
      <c r="E14" t="s">
        <v>39</v>
      </c>
      <c r="F14" t="s">
        <v>40</v>
      </c>
      <c r="G14" t="s">
        <v>320</v>
      </c>
    </row>
    <row r="15" spans="1:8" x14ac:dyDescent="0.25">
      <c r="A15" t="s">
        <v>63</v>
      </c>
      <c r="B15" t="str">
        <f>LEFT(A15,FIND(" / ",A15)-1)</f>
        <v>AS-Group</v>
      </c>
      <c r="C15" t="str">
        <f>RIGHT(A15, LEN(A15) - FIND(" / ", A15) - 2)</f>
        <v xml:space="preserve">gst-melanin-prediction </v>
      </c>
      <c r="D15" t="s">
        <v>64</v>
      </c>
      <c r="E15" t="s">
        <v>39</v>
      </c>
      <c r="F15" t="s">
        <v>40</v>
      </c>
      <c r="G15" t="s">
        <v>320</v>
      </c>
    </row>
    <row r="16" spans="1:8" x14ac:dyDescent="0.25">
      <c r="A16" t="s">
        <v>65</v>
      </c>
      <c r="B16" t="str">
        <f>LEFT(A16,FIND(" / ",A16)-1)</f>
        <v>AS-Group</v>
      </c>
      <c r="C16" t="str">
        <f>RIGHT(A16, LEN(A16) - FIND(" / ", A16) - 2)</f>
        <v xml:space="preserve">gst-muxbatch </v>
      </c>
      <c r="D16" t="s">
        <v>66</v>
      </c>
      <c r="E16" t="s">
        <v>39</v>
      </c>
      <c r="F16" t="s">
        <v>40</v>
      </c>
      <c r="G16" t="s">
        <v>320</v>
      </c>
    </row>
    <row r="17" spans="1:7" x14ac:dyDescent="0.25">
      <c r="A17" t="s">
        <v>67</v>
      </c>
      <c r="B17" t="str">
        <f>LEFT(A17,FIND(" / ",A17)-1)</f>
        <v>AS-Group</v>
      </c>
      <c r="C17" t="str">
        <f>RIGHT(A17, LEN(A17) - FIND(" / ", A17) - 2)</f>
        <v xml:space="preserve">gst-muxtostream </v>
      </c>
      <c r="D17" t="s">
        <v>68</v>
      </c>
      <c r="E17" t="s">
        <v>39</v>
      </c>
      <c r="F17" t="s">
        <v>40</v>
      </c>
      <c r="G17" t="s">
        <v>320</v>
      </c>
    </row>
    <row r="18" spans="1:7" x14ac:dyDescent="0.25">
      <c r="A18" t="s">
        <v>69</v>
      </c>
      <c r="B18" t="str">
        <f>LEFT(A18,FIND(" / ",A18)-1)</f>
        <v>AS-Group</v>
      </c>
      <c r="C18" t="str">
        <f>RIGHT(A18, LEN(A18) - FIND(" / ", A18) - 2)</f>
        <v xml:space="preserve">gst-pigment-contrast-test </v>
      </c>
      <c r="D18" t="s">
        <v>70</v>
      </c>
      <c r="E18" t="s">
        <v>39</v>
      </c>
      <c r="F18" t="s">
        <v>40</v>
      </c>
      <c r="G18" t="s">
        <v>320</v>
      </c>
    </row>
    <row r="19" spans="1:7" x14ac:dyDescent="0.25">
      <c r="A19" t="s">
        <v>71</v>
      </c>
      <c r="B19" t="str">
        <f>LEFT(A19,FIND(" / ",A19)-1)</f>
        <v>AS-Group</v>
      </c>
      <c r="C19" t="str">
        <f>RIGHT(A19, LEN(A19) - FIND(" / ", A19) - 2)</f>
        <v xml:space="preserve">gst-reflect-maps </v>
      </c>
      <c r="D19" t="s">
        <v>72</v>
      </c>
      <c r="E19" t="s">
        <v>39</v>
      </c>
      <c r="F19" t="s">
        <v>40</v>
      </c>
      <c r="G19" t="s">
        <v>320</v>
      </c>
    </row>
    <row r="20" spans="1:7" x14ac:dyDescent="0.25">
      <c r="A20" t="s">
        <v>73</v>
      </c>
      <c r="B20" t="str">
        <f>LEFT(A20,FIND(" / ",A20)-1)</f>
        <v>AS-Group</v>
      </c>
      <c r="C20" t="str">
        <f>RIGHT(A20, LEN(A20) - FIND(" / ", A20) - 2)</f>
        <v xml:space="preserve">gst-rgb-compositor </v>
      </c>
      <c r="D20" t="s">
        <v>74</v>
      </c>
      <c r="E20" t="s">
        <v>39</v>
      </c>
      <c r="F20" t="s">
        <v>40</v>
      </c>
      <c r="G20" t="s">
        <v>320</v>
      </c>
    </row>
    <row r="21" spans="1:7" x14ac:dyDescent="0.25">
      <c r="A21" t="s">
        <v>75</v>
      </c>
      <c r="B21" t="str">
        <f>LEFT(A21,FIND(" / ",A21)-1)</f>
        <v>AS-Group</v>
      </c>
      <c r="C21" t="str">
        <f>RIGHT(A21, LEN(A21) - FIND(" / ", A21) - 2)</f>
        <v xml:space="preserve">gst-save-results </v>
      </c>
      <c r="D21" t="s">
        <v>76</v>
      </c>
      <c r="E21" t="s">
        <v>39</v>
      </c>
      <c r="F21" t="s">
        <v>40</v>
      </c>
      <c r="G21" t="s">
        <v>320</v>
      </c>
    </row>
    <row r="22" spans="1:7" x14ac:dyDescent="0.25">
      <c r="A22" t="s">
        <v>77</v>
      </c>
      <c r="B22" t="str">
        <f>LEFT(A22,FIND(" / ",A22)-1)</f>
        <v>AS-Group</v>
      </c>
      <c r="C22" t="str">
        <f>RIGHT(A22, LEN(A22) - FIND(" / ", A22) - 2)</f>
        <v xml:space="preserve">gst-skinTypePrediction </v>
      </c>
      <c r="D22" t="s">
        <v>78</v>
      </c>
      <c r="E22" t="s">
        <v>39</v>
      </c>
      <c r="F22" t="s">
        <v>40</v>
      </c>
      <c r="G22" t="s">
        <v>320</v>
      </c>
    </row>
    <row r="23" spans="1:7" x14ac:dyDescent="0.25">
      <c r="A23" t="s">
        <v>79</v>
      </c>
      <c r="B23" t="str">
        <f>LEFT(A23,FIND(" / ",A23)-1)</f>
        <v>AS-Group</v>
      </c>
      <c r="C23" t="str">
        <f>RIGHT(A23, LEN(A23) - FIND(" / ", A23) - 2)</f>
        <v xml:space="preserve">gst-sqrt-filter </v>
      </c>
      <c r="D23" t="s">
        <v>80</v>
      </c>
      <c r="E23" t="s">
        <v>39</v>
      </c>
      <c r="F23" t="s">
        <v>40</v>
      </c>
      <c r="G23" t="s">
        <v>320</v>
      </c>
    </row>
    <row r="24" spans="1:7" x14ac:dyDescent="0.25">
      <c r="A24" t="s">
        <v>81</v>
      </c>
      <c r="B24" t="str">
        <f>LEFT(A24,FIND(" / ",A24)-1)</f>
        <v>AS-Group</v>
      </c>
      <c r="C24" t="str">
        <f>RIGHT(A24, LEN(A24) - FIND(" / ", A24) - 2)</f>
        <v xml:space="preserve">gst-vein-mapper </v>
      </c>
      <c r="D24" t="s">
        <v>82</v>
      </c>
      <c r="E24" t="s">
        <v>39</v>
      </c>
      <c r="F24" t="s">
        <v>40</v>
      </c>
      <c r="G24" t="s">
        <v>320</v>
      </c>
    </row>
    <row r="25" spans="1:7" x14ac:dyDescent="0.25">
      <c r="A25" t="s">
        <v>83</v>
      </c>
      <c r="B25" t="str">
        <f>LEFT(A25,FIND(" / ",A25)-1)</f>
        <v>AS-Group</v>
      </c>
      <c r="C25" t="str">
        <f>RIGHT(A25, LEN(A25) - FIND(" / ", A25) - 2)</f>
        <v xml:space="preserve">gst-webrtc-wrapper </v>
      </c>
      <c r="D25" t="s">
        <v>84</v>
      </c>
      <c r="E25" t="s">
        <v>39</v>
      </c>
      <c r="F25" t="s">
        <v>40</v>
      </c>
      <c r="G25" t="s">
        <v>320</v>
      </c>
    </row>
    <row r="26" spans="1:7" x14ac:dyDescent="0.25">
      <c r="A26" t="s">
        <v>85</v>
      </c>
      <c r="B26" t="str">
        <f>LEFT(A26,FIND(" / ",A26)-1)</f>
        <v>AS-Group</v>
      </c>
      <c r="C26" t="str">
        <f>RIGHT(A26, LEN(A26) - FIND(" / ", A26) - 2)</f>
        <v xml:space="preserve">gst-websocksink </v>
      </c>
      <c r="D26" t="s">
        <v>86</v>
      </c>
      <c r="E26" t="s">
        <v>39</v>
      </c>
      <c r="F26" t="s">
        <v>40</v>
      </c>
      <c r="G26" t="s">
        <v>320</v>
      </c>
    </row>
    <row r="27" spans="1:7" x14ac:dyDescent="0.25">
      <c r="A27" t="s">
        <v>87</v>
      </c>
      <c r="B27" t="str">
        <f>LEFT(A27,FIND(" / ",A27)-1)</f>
        <v>AS-Group</v>
      </c>
      <c r="C27" t="str">
        <f>RIGHT(A27, LEN(A27) - FIND(" / ", A27) - 2)</f>
        <v xml:space="preserve">gst-websocksink-sink-broker </v>
      </c>
      <c r="D27" t="s">
        <v>88</v>
      </c>
      <c r="E27" t="s">
        <v>39</v>
      </c>
      <c r="F27" t="s">
        <v>40</v>
      </c>
      <c r="G27" t="s">
        <v>320</v>
      </c>
    </row>
    <row r="28" spans="1:7" x14ac:dyDescent="0.25">
      <c r="A28" t="s">
        <v>89</v>
      </c>
      <c r="B28" t="str">
        <f>LEFT(A28,FIND(" / ",A28)-1)</f>
        <v>AS-Group</v>
      </c>
      <c r="C28" t="str">
        <f>RIGHT(A28, LEN(A28) - FIND(" / ", A28) - 2)</f>
        <v xml:space="preserve">gst-white-balance </v>
      </c>
      <c r="D28" t="s">
        <v>90</v>
      </c>
      <c r="E28" t="s">
        <v>39</v>
      </c>
      <c r="F28" t="s">
        <v>40</v>
      </c>
      <c r="G28" t="s">
        <v>320</v>
      </c>
    </row>
    <row r="29" spans="1:7" x14ac:dyDescent="0.25">
      <c r="A29" t="s">
        <v>91</v>
      </c>
      <c r="B29" t="str">
        <f>LEFT(A29,FIND(" / ",A29)-1)</f>
        <v>AS-Group</v>
      </c>
      <c r="C29" t="str">
        <f>RIGHT(A29, LEN(A29) - FIND(" / ", A29) - 2)</f>
        <v xml:space="preserve">HairDetectModelLib </v>
      </c>
      <c r="D29" t="s">
        <v>92</v>
      </c>
      <c r="E29" t="s">
        <v>39</v>
      </c>
      <c r="F29" t="s">
        <v>40</v>
      </c>
      <c r="G29" t="s">
        <v>320</v>
      </c>
    </row>
    <row r="30" spans="1:7" x14ac:dyDescent="0.25">
      <c r="A30" t="s">
        <v>93</v>
      </c>
      <c r="B30" t="str">
        <f>LEFT(A30,FIND(" / ",A30)-1)</f>
        <v>AS-Group</v>
      </c>
      <c r="C30" t="str">
        <f>RIGHT(A30, LEN(A30) - FIND(" / ", A30) - 2)</f>
        <v xml:space="preserve">MelaninPredictModlelLib </v>
      </c>
      <c r="D30" t="s">
        <v>94</v>
      </c>
      <c r="E30" t="s">
        <v>39</v>
      </c>
      <c r="F30" t="s">
        <v>40</v>
      </c>
      <c r="G30" t="s">
        <v>320</v>
      </c>
    </row>
    <row r="31" spans="1:7" x14ac:dyDescent="0.25">
      <c r="A31" t="s">
        <v>95</v>
      </c>
      <c r="B31" t="str">
        <f>LEFT(A31,FIND(" / ",A31)-1)</f>
        <v>AS-Group</v>
      </c>
      <c r="C31" t="str">
        <f>RIGHT(A31, LEN(A31) - FIND(" / ", A31) - 2)</f>
        <v xml:space="preserve">nisko_securedbsp </v>
      </c>
      <c r="D31" t="s">
        <v>96</v>
      </c>
      <c r="E31" t="s">
        <v>39</v>
      </c>
      <c r="F31" t="s">
        <v>40</v>
      </c>
      <c r="G31" t="s">
        <v>320</v>
      </c>
    </row>
    <row r="32" spans="1:7" x14ac:dyDescent="0.25">
      <c r="A32" t="s">
        <v>97</v>
      </c>
      <c r="B32" t="str">
        <f>LEFT(A32,FIND(" / ",A32)-1)</f>
        <v>AS-Group</v>
      </c>
      <c r="C32" t="str">
        <f>RIGHT(A32, LEN(A32) - FIND(" / ", A32) - 2)</f>
        <v xml:space="preserve">npy_compare </v>
      </c>
      <c r="D32" t="s">
        <v>98</v>
      </c>
      <c r="E32" t="s">
        <v>39</v>
      </c>
      <c r="F32" t="s">
        <v>40</v>
      </c>
      <c r="G32" t="s">
        <v>320</v>
      </c>
    </row>
    <row r="33" spans="1:7" x14ac:dyDescent="0.25">
      <c r="A33" t="s">
        <v>99</v>
      </c>
      <c r="B33" t="str">
        <f>LEFT(A33,FIND(" / ",A33)-1)</f>
        <v>AS-Group</v>
      </c>
      <c r="C33" t="str">
        <f>RIGHT(A33, LEN(A33) - FIND(" / ", A33) - 2)</f>
        <v xml:space="preserve">nvds-gst-plugin-template </v>
      </c>
      <c r="D33" t="s">
        <v>100</v>
      </c>
      <c r="E33" t="s">
        <v>39</v>
      </c>
      <c r="F33" t="s">
        <v>40</v>
      </c>
      <c r="G33" t="s">
        <v>320</v>
      </c>
    </row>
    <row r="34" spans="1:7" x14ac:dyDescent="0.25">
      <c r="A34" t="s">
        <v>101</v>
      </c>
      <c r="B34" t="str">
        <f>LEFT(A34,FIND(" / ",A34)-1)</f>
        <v>AS-Group</v>
      </c>
      <c r="C34" t="str">
        <f>RIGHT(A34, LEN(A34) - FIND(" / ", A34) - 2)</f>
        <v xml:space="preserve">OfflineAlgo </v>
      </c>
      <c r="D34" t="s">
        <v>102</v>
      </c>
      <c r="E34" t="s">
        <v>39</v>
      </c>
      <c r="F34" t="s">
        <v>40</v>
      </c>
      <c r="G34" t="s">
        <v>320</v>
      </c>
    </row>
    <row r="35" spans="1:7" x14ac:dyDescent="0.25">
      <c r="A35" t="s">
        <v>103</v>
      </c>
      <c r="B35" t="str">
        <f>LEFT(A35,FIND(" / ",A35)-1)</f>
        <v>AS-Group</v>
      </c>
      <c r="C35" t="str">
        <f>RIGHT(A35, LEN(A35) - FIND(" / ", A35) - 2)</f>
        <v xml:space="preserve">OfflineAlgo_SendImagesToSharedMemory </v>
      </c>
      <c r="D35" t="s">
        <v>104</v>
      </c>
      <c r="E35" t="s">
        <v>39</v>
      </c>
      <c r="F35" t="s">
        <v>40</v>
      </c>
      <c r="G35" t="s">
        <v>320</v>
      </c>
    </row>
    <row r="36" spans="1:7" x14ac:dyDescent="0.25">
      <c r="A36" t="s">
        <v>105</v>
      </c>
      <c r="B36" t="str">
        <f>LEFT(A36,FIND(" / ",A36)-1)</f>
        <v>AS-Group</v>
      </c>
      <c r="C36" t="str">
        <f>RIGHT(A36, LEN(A36) - FIND(" / ", A36) - 2)</f>
        <v xml:space="preserve">offlinealgoVerification </v>
      </c>
      <c r="D36" t="s">
        <v>106</v>
      </c>
      <c r="E36" t="s">
        <v>39</v>
      </c>
      <c r="F36" t="s">
        <v>40</v>
      </c>
      <c r="G36" t="s">
        <v>320</v>
      </c>
    </row>
    <row r="37" spans="1:7" x14ac:dyDescent="0.25">
      <c r="A37" t="s">
        <v>107</v>
      </c>
      <c r="B37" t="str">
        <f>LEFT(A37,FIND(" / ",A37)-1)</f>
        <v>AS-Group</v>
      </c>
      <c r="C37" t="str">
        <f>RIGHT(A37, LEN(A37) - FIND(" / ", A37) - 2)</f>
        <v xml:space="preserve">PigmentContrastModelLib </v>
      </c>
      <c r="D37" t="s">
        <v>108</v>
      </c>
      <c r="E37" t="s">
        <v>39</v>
      </c>
      <c r="F37" t="s">
        <v>40</v>
      </c>
      <c r="G37" t="s">
        <v>320</v>
      </c>
    </row>
    <row r="38" spans="1:7" x14ac:dyDescent="0.25">
      <c r="A38" t="s">
        <v>109</v>
      </c>
      <c r="B38" t="str">
        <f>LEFT(A38,FIND(" / ",A38)-1)</f>
        <v>AS-Group</v>
      </c>
      <c r="C38" t="str">
        <f>RIGHT(A38, LEN(A38) - FIND(" / ", A38) - 2)</f>
        <v xml:space="preserve">rapidjson-master </v>
      </c>
      <c r="D38" t="s">
        <v>110</v>
      </c>
      <c r="E38" t="s">
        <v>39</v>
      </c>
      <c r="F38" t="s">
        <v>40</v>
      </c>
      <c r="G38" t="s">
        <v>320</v>
      </c>
    </row>
    <row r="39" spans="1:7" x14ac:dyDescent="0.25">
      <c r="A39" t="s">
        <v>111</v>
      </c>
      <c r="B39" t="str">
        <f>LEFT(A39,FIND(" / ",A39)-1)</f>
        <v>AS-Group</v>
      </c>
      <c r="C39" t="str">
        <f>RIGHT(A39, LEN(A39) - FIND(" / ", A39) - 2)</f>
        <v xml:space="preserve">sc_algo_pipline_infrastructure </v>
      </c>
      <c r="D39" t="s">
        <v>112</v>
      </c>
      <c r="E39" t="s">
        <v>39</v>
      </c>
      <c r="F39" t="s">
        <v>40</v>
      </c>
      <c r="G39" t="s">
        <v>320</v>
      </c>
    </row>
    <row r="40" spans="1:7" x14ac:dyDescent="0.25">
      <c r="A40" t="s">
        <v>113</v>
      </c>
      <c r="B40" t="str">
        <f>LEFT(A40,FIND(" / ",A40)-1)</f>
        <v>AS-Group</v>
      </c>
      <c r="C40" t="str">
        <f>RIGHT(A40, LEN(A40) - FIND(" / ", A40) - 2)</f>
        <v xml:space="preserve">sc_gst-peek-calc </v>
      </c>
      <c r="D40" t="s">
        <v>114</v>
      </c>
      <c r="E40" t="s">
        <v>39</v>
      </c>
      <c r="F40" t="s">
        <v>40</v>
      </c>
      <c r="G40" t="s">
        <v>320</v>
      </c>
    </row>
    <row r="41" spans="1:7" x14ac:dyDescent="0.25">
      <c r="A41" t="s">
        <v>115</v>
      </c>
      <c r="B41" t="str">
        <f>LEFT(A41,FIND(" / ",A41)-1)</f>
        <v>AS-Group</v>
      </c>
      <c r="C41" t="str">
        <f>RIGHT(A41, LEN(A41) - FIND(" / ", A41) - 2)</f>
        <v xml:space="preserve">SC_gstreamer_plugins </v>
      </c>
      <c r="D41" t="s">
        <v>116</v>
      </c>
      <c r="E41" t="s">
        <v>39</v>
      </c>
      <c r="F41" t="s">
        <v>40</v>
      </c>
      <c r="G41" t="s">
        <v>320</v>
      </c>
    </row>
    <row r="42" spans="1:7" x14ac:dyDescent="0.25">
      <c r="A42" t="s">
        <v>117</v>
      </c>
      <c r="B42" t="str">
        <f>LEFT(A42,FIND(" / ",A42)-1)</f>
        <v>AS-Group</v>
      </c>
      <c r="C42" t="str">
        <f>RIGHT(A42, LEN(A42) - FIND(" / ", A42) - 2)</f>
        <v xml:space="preserve">SkinDiag-RawData-Samples </v>
      </c>
      <c r="D42" t="s">
        <v>118</v>
      </c>
      <c r="E42" t="s">
        <v>39</v>
      </c>
      <c r="F42" t="s">
        <v>40</v>
      </c>
      <c r="G42" t="s">
        <v>320</v>
      </c>
    </row>
    <row r="43" spans="1:7" x14ac:dyDescent="0.25">
      <c r="A43" t="s">
        <v>119</v>
      </c>
      <c r="B43" t="str">
        <f>LEFT(A43,FIND(" / ",A43)-1)</f>
        <v>AS-Group</v>
      </c>
      <c r="C43" t="str">
        <f>RIGHT(A43, LEN(A43) - FIND(" / ", A43) - 2)</f>
        <v xml:space="preserve">SkinTypeModelLib </v>
      </c>
      <c r="D43" t="s">
        <v>120</v>
      </c>
      <c r="E43" t="s">
        <v>39</v>
      </c>
      <c r="F43" t="s">
        <v>40</v>
      </c>
      <c r="G43" t="s">
        <v>320</v>
      </c>
    </row>
    <row r="44" spans="1:7" x14ac:dyDescent="0.25">
      <c r="A44" t="s">
        <v>121</v>
      </c>
      <c r="B44" t="str">
        <f>LEFT(A44,FIND(" / ",A44)-1)</f>
        <v>AS-Group</v>
      </c>
      <c r="C44" t="str">
        <f>RIGHT(A44, LEN(A44) - FIND(" / ", A44) - 2)</f>
        <v xml:space="preserve">smart-console-sw-build </v>
      </c>
      <c r="D44" t="s">
        <v>122</v>
      </c>
      <c r="E44" t="s">
        <v>39</v>
      </c>
      <c r="F44" t="s">
        <v>40</v>
      </c>
      <c r="G44" t="s">
        <v>320</v>
      </c>
    </row>
    <row r="45" spans="1:7" x14ac:dyDescent="0.25">
      <c r="A45" t="s">
        <v>123</v>
      </c>
      <c r="B45" t="str">
        <f>LEFT(A45,FIND(" / ",A45)-1)</f>
        <v>AS-Group</v>
      </c>
      <c r="C45" t="str">
        <f>RIGHT(A45, LEN(A45) - FIND(" / ", A45) - 2)</f>
        <v xml:space="preserve">VeinModelLib </v>
      </c>
      <c r="D45" t="s">
        <v>124</v>
      </c>
      <c r="E45" t="s">
        <v>39</v>
      </c>
      <c r="F45" t="s">
        <v>40</v>
      </c>
      <c r="G45" t="s">
        <v>320</v>
      </c>
    </row>
    <row r="46" spans="1:7" x14ac:dyDescent="0.25">
      <c r="A46" t="s">
        <v>125</v>
      </c>
      <c r="B46" t="str">
        <f>LEFT(A46,FIND(" / ",A46)-1)</f>
        <v>Automation-Group</v>
      </c>
      <c r="C46" t="str">
        <f>RIGHT(A46, LEN(A46) - FIND(" / ", A46) - 2)</f>
        <v xml:space="preserve">UnifiedAutomation </v>
      </c>
      <c r="D46" t="s">
        <v>126</v>
      </c>
      <c r="E46" t="s">
        <v>224</v>
      </c>
      <c r="G46" t="s">
        <v>310</v>
      </c>
    </row>
    <row r="47" spans="1:7" x14ac:dyDescent="0.25">
      <c r="A47" t="s">
        <v>127</v>
      </c>
      <c r="B47" t="str">
        <f>LEFT(A47,FIND(" / ",A47)-1)</f>
        <v>Boris Ashkinezer</v>
      </c>
      <c r="C47" t="str">
        <f>RIGHT(A47, LEN(A47) - FIND(" / ", A47) - 2)</f>
        <v xml:space="preserve">Lumenis IPL Filter FW </v>
      </c>
      <c r="D47" t="s">
        <v>128</v>
      </c>
      <c r="G47" t="s">
        <v>310</v>
      </c>
    </row>
    <row r="48" spans="1:7" x14ac:dyDescent="0.25">
      <c r="A48" t="s">
        <v>129</v>
      </c>
      <c r="B48" t="str">
        <f>LEFT(A48,FIND(" / ",A48)-1)</f>
        <v>Boris Ashkinezer</v>
      </c>
      <c r="C48" t="str">
        <f>RIGHT(A48, LEN(A48) - FIND(" / ", A48) - 2)</f>
        <v xml:space="preserve">Lumenis IPL Headboard FW </v>
      </c>
      <c r="D48" t="s">
        <v>130</v>
      </c>
      <c r="G48" t="s">
        <v>310</v>
      </c>
    </row>
    <row r="49" spans="1:8" x14ac:dyDescent="0.25">
      <c r="A49" t="s">
        <v>131</v>
      </c>
      <c r="B49" t="str">
        <f>LEFT(A49,FIND(" / ",A49)-1)</f>
        <v>Collaborator-Group</v>
      </c>
      <c r="C49" t="str">
        <f>RIGHT(A49, LEN(A49) - FIND(" / ", A49) - 2)</f>
        <v xml:space="preserve">CollaboratorAutoReviewReport </v>
      </c>
      <c r="D49" t="s">
        <v>132</v>
      </c>
      <c r="E49" t="s">
        <v>139</v>
      </c>
      <c r="G49" t="s">
        <v>310</v>
      </c>
    </row>
    <row r="50" spans="1:8" x14ac:dyDescent="0.25">
      <c r="A50" t="s">
        <v>4</v>
      </c>
      <c r="B50" t="str">
        <f>LEFT(A50,FIND(" / ",A50)-1)</f>
        <v>Hair-Growth-Group</v>
      </c>
      <c r="C50" t="str">
        <f>RIGHT(A50, LEN(A50) - FIND(" / ", A50) - 2)</f>
        <v xml:space="preserve">Hair-Growth </v>
      </c>
      <c r="D50" s="1" t="s">
        <v>5</v>
      </c>
      <c r="E50" t="s">
        <v>249</v>
      </c>
      <c r="G50" t="s">
        <v>310</v>
      </c>
    </row>
    <row r="51" spans="1:8" x14ac:dyDescent="0.25">
      <c r="A51" t="s">
        <v>18</v>
      </c>
      <c r="B51" t="str">
        <f>LEFT(A51,FIND(" / ",A51)-1)</f>
        <v>Idan Aviad</v>
      </c>
      <c r="C51" t="str">
        <f>RIGHT(A51, LEN(A51) - FIND(" / ", A51) - 2)</f>
        <v xml:space="preserve">DigitalDuet </v>
      </c>
      <c r="D51" t="s">
        <v>19</v>
      </c>
      <c r="E51" t="s">
        <v>313</v>
      </c>
      <c r="G51" t="s">
        <v>309</v>
      </c>
      <c r="H51" t="s">
        <v>317</v>
      </c>
    </row>
    <row r="52" spans="1:8" x14ac:dyDescent="0.25">
      <c r="A52" t="s">
        <v>135</v>
      </c>
      <c r="B52" t="str">
        <f>LEFT(A52,FIND(" / ",A52)-1)</f>
        <v>Insight-Group</v>
      </c>
      <c r="C52" t="str">
        <f>RIGHT(A52, LEN(A52) - FIND(" / ", A52) - 2)</f>
        <v xml:space="preserve">Insight </v>
      </c>
      <c r="D52" s="1" t="s">
        <v>136</v>
      </c>
      <c r="E52" t="s">
        <v>312</v>
      </c>
      <c r="G52" t="s">
        <v>319</v>
      </c>
    </row>
    <row r="53" spans="1:8" x14ac:dyDescent="0.25">
      <c r="A53" t="s">
        <v>137</v>
      </c>
      <c r="B53" t="str">
        <f>LEFT(A53,FIND(" / ",A53)-1)</f>
        <v>Leo-Group</v>
      </c>
      <c r="C53" t="str">
        <f>RIGHT(A53, LEN(A53) - FIND(" / ", A53) - 2)</f>
        <v xml:space="preserve">Leo </v>
      </c>
      <c r="D53" t="s">
        <v>138</v>
      </c>
      <c r="E53" t="s">
        <v>139</v>
      </c>
      <c r="F53" t="s">
        <v>140</v>
      </c>
      <c r="G53" t="s">
        <v>310</v>
      </c>
    </row>
    <row r="54" spans="1:8" x14ac:dyDescent="0.25">
      <c r="A54" t="s">
        <v>141</v>
      </c>
      <c r="B54" t="str">
        <f>LEFT(A54,FIND(" / ",A54)-1)</f>
        <v>Lumenis Ophthalmic Awesome SW Group</v>
      </c>
      <c r="C54" t="str">
        <f>RIGHT(A54, LEN(A54) - FIND(" / ", A54) - 2)</f>
        <v xml:space="preserve">DigitalDuet </v>
      </c>
      <c r="D54" t="s">
        <v>142</v>
      </c>
      <c r="E54" t="s">
        <v>313</v>
      </c>
      <c r="G54" t="s">
        <v>309</v>
      </c>
      <c r="H54" t="s">
        <v>318</v>
      </c>
    </row>
    <row r="55" spans="1:8" x14ac:dyDescent="0.25">
      <c r="A55" t="s">
        <v>143</v>
      </c>
      <c r="B55" t="str">
        <f>LEFT(A55,FIND(" / ",A55)-1)</f>
        <v>Lumenis Ophthalmic Awesome SW Group</v>
      </c>
      <c r="C55" t="str">
        <f>RIGHT(A55, LEN(A55) - FIND(" / ", A55) - 2)</f>
        <v xml:space="preserve">OptiLight </v>
      </c>
      <c r="D55" t="s">
        <v>144</v>
      </c>
      <c r="E55" t="s">
        <v>313</v>
      </c>
      <c r="G55" t="s">
        <v>309</v>
      </c>
    </row>
    <row r="56" spans="1:8" x14ac:dyDescent="0.25">
      <c r="A56" t="s">
        <v>145</v>
      </c>
      <c r="B56" t="str">
        <f>LEFT(A56,FIND(" / ",A56)-1)</f>
        <v>Lumenis Ophthalmic Awesome SW Group</v>
      </c>
      <c r="C56" t="str">
        <f>RIGHT(A56, LEN(A56) - FIND(" / ", A56) - 2)</f>
        <v xml:space="preserve">OptiLight_5_06 </v>
      </c>
      <c r="D56" t="s">
        <v>146</v>
      </c>
      <c r="E56" t="s">
        <v>313</v>
      </c>
      <c r="G56" t="s">
        <v>309</v>
      </c>
    </row>
    <row r="57" spans="1:8" x14ac:dyDescent="0.25">
      <c r="A57" t="s">
        <v>147</v>
      </c>
      <c r="B57" t="str">
        <f>LEFT(A57,FIND(" / ",A57)-1)</f>
        <v>Lumenis Ophthalmic Awesome SW Group</v>
      </c>
      <c r="C57" t="str">
        <f>RIGHT(A57, LEN(A57) - FIND(" / ", A57) - 2)</f>
        <v xml:space="preserve">OptiLight_5_07 </v>
      </c>
      <c r="D57" t="s">
        <v>148</v>
      </c>
      <c r="E57" t="s">
        <v>313</v>
      </c>
      <c r="G57" t="s">
        <v>309</v>
      </c>
    </row>
    <row r="58" spans="1:8" x14ac:dyDescent="0.25">
      <c r="A58" t="s">
        <v>133</v>
      </c>
      <c r="B58" t="str">
        <f>LEFT(A58,FIND(" / ",A58)-1)</f>
        <v>Lumenis-Customer-App</v>
      </c>
      <c r="C58" t="str">
        <f>RIGHT(A58, LEN(A58) - FIND(" / ", A58) - 2)</f>
        <v xml:space="preserve">silex-cors-provider </v>
      </c>
      <c r="D58" t="s">
        <v>134</v>
      </c>
      <c r="E58" t="s">
        <v>312</v>
      </c>
      <c r="G58" t="s">
        <v>319</v>
      </c>
    </row>
    <row r="59" spans="1:8" x14ac:dyDescent="0.25">
      <c r="A59" t="s">
        <v>149</v>
      </c>
      <c r="B59" t="str">
        <f>LEFT(A59,FIND(" / ",A59)-1)</f>
        <v>Lumenis-Customer-App</v>
      </c>
      <c r="C59" t="str">
        <f>RIGHT(A59, LEN(A59) - FIND(" / ", A59) - 2)</f>
        <v xml:space="preserve">Be Lumenis Dev </v>
      </c>
      <c r="D59" t="s">
        <v>150</v>
      </c>
      <c r="E59" t="s">
        <v>312</v>
      </c>
      <c r="G59" t="s">
        <v>319</v>
      </c>
    </row>
    <row r="60" spans="1:8" x14ac:dyDescent="0.25">
      <c r="A60" t="s">
        <v>151</v>
      </c>
      <c r="B60" t="str">
        <f>LEFT(A60,FIND(" / ",A60)-1)</f>
        <v>Lumenis-Customer-App</v>
      </c>
      <c r="C60" t="str">
        <f>RIGHT(A60, LEN(A60) - FIND(" / ", A60) - 2)</f>
        <v xml:space="preserve">Cms </v>
      </c>
      <c r="D60" t="s">
        <v>152</v>
      </c>
      <c r="E60" t="s">
        <v>312</v>
      </c>
      <c r="G60" t="s">
        <v>319</v>
      </c>
    </row>
    <row r="61" spans="1:8" x14ac:dyDescent="0.25">
      <c r="A61" t="s">
        <v>153</v>
      </c>
      <c r="B61" t="str">
        <f>LEFT(A61,FIND(" / ",A61)-1)</f>
        <v>Lumenis-Customer-App</v>
      </c>
      <c r="C61" t="str">
        <f>RIGHT(A61, LEN(A61) - FIND(" / ", A61) - 2)</f>
        <v xml:space="preserve">Core </v>
      </c>
      <c r="D61" t="s">
        <v>154</v>
      </c>
      <c r="E61" t="s">
        <v>312</v>
      </c>
      <c r="G61" t="s">
        <v>319</v>
      </c>
    </row>
    <row r="62" spans="1:8" x14ac:dyDescent="0.25">
      <c r="A62" t="s">
        <v>155</v>
      </c>
      <c r="B62" t="str">
        <f>LEFT(A62,FIND(" / ",A62)-1)</f>
        <v>Lumenis-Customer-App</v>
      </c>
      <c r="C62" t="str">
        <f>RIGHT(A62, LEN(A62) - FIND(" / ", A62) - 2)</f>
        <v xml:space="preserve">DB Queries </v>
      </c>
      <c r="D62" t="s">
        <v>156</v>
      </c>
      <c r="E62" t="s">
        <v>312</v>
      </c>
      <c r="G62" t="s">
        <v>319</v>
      </c>
    </row>
    <row r="63" spans="1:8" x14ac:dyDescent="0.25">
      <c r="A63" t="s">
        <v>157</v>
      </c>
      <c r="B63" t="str">
        <f>LEFT(A63,FIND(" / ",A63)-1)</f>
        <v>Lumenis-Customer-App</v>
      </c>
      <c r="C63" t="str">
        <f>RIGHT(A63, LEN(A63) - FIND(" / ", A63) - 2)</f>
        <v xml:space="preserve">Db-Sync-Scripts </v>
      </c>
      <c r="D63" t="s">
        <v>158</v>
      </c>
      <c r="E63" t="s">
        <v>312</v>
      </c>
      <c r="G63" t="s">
        <v>319</v>
      </c>
    </row>
    <row r="64" spans="1:8" x14ac:dyDescent="0.25">
      <c r="A64" t="s">
        <v>159</v>
      </c>
      <c r="B64" t="str">
        <f>LEFT(A64,FIND(" / ",A64)-1)</f>
        <v>Lumenis-Customer-App</v>
      </c>
      <c r="C64" t="str">
        <f>RIGHT(A64, LEN(A64) - FIND(" / ", A64) - 2)</f>
        <v xml:space="preserve">Delta Angular </v>
      </c>
      <c r="D64" t="s">
        <v>160</v>
      </c>
      <c r="E64" t="s">
        <v>312</v>
      </c>
      <c r="G64" t="s">
        <v>319</v>
      </c>
    </row>
    <row r="65" spans="1:7" x14ac:dyDescent="0.25">
      <c r="A65" t="s">
        <v>161</v>
      </c>
      <c r="B65" t="str">
        <f>LEFT(A65,FIND(" / ",A65)-1)</f>
        <v>Lumenis-Customer-App</v>
      </c>
      <c r="C65" t="str">
        <f>RIGHT(A65, LEN(A65) - FIND(" / ", A65) - 2)</f>
        <v xml:space="preserve">Delta Dashboard Angular </v>
      </c>
      <c r="D65" t="s">
        <v>162</v>
      </c>
      <c r="E65" t="s">
        <v>312</v>
      </c>
      <c r="G65" t="s">
        <v>319</v>
      </c>
    </row>
    <row r="66" spans="1:7" x14ac:dyDescent="0.25">
      <c r="A66" t="s">
        <v>163</v>
      </c>
      <c r="B66" t="str">
        <f>LEFT(A66,FIND(" / ",A66)-1)</f>
        <v>Lumenis-Customer-App</v>
      </c>
      <c r="C66" t="str">
        <f>RIGHT(A66, LEN(A66) - FIND(" / ", A66) - 2)</f>
        <v xml:space="preserve">Fe Lumenis Dev </v>
      </c>
      <c r="D66" t="s">
        <v>164</v>
      </c>
      <c r="E66" t="s">
        <v>312</v>
      </c>
      <c r="G66" t="s">
        <v>319</v>
      </c>
    </row>
    <row r="67" spans="1:7" x14ac:dyDescent="0.25">
      <c r="A67" t="s">
        <v>165</v>
      </c>
      <c r="B67" t="str">
        <f>LEFT(A67,FIND(" / ",A67)-1)</f>
        <v>Lumenis-Customer-App</v>
      </c>
      <c r="C67" t="str">
        <f>RIGHT(A67, LEN(A67) - FIND(" / ", A67) - 2)</f>
        <v xml:space="preserve">Generic Bundle Account </v>
      </c>
      <c r="D67" t="s">
        <v>166</v>
      </c>
      <c r="E67" t="s">
        <v>312</v>
      </c>
      <c r="G67" t="s">
        <v>319</v>
      </c>
    </row>
    <row r="68" spans="1:7" x14ac:dyDescent="0.25">
      <c r="A68" t="s">
        <v>167</v>
      </c>
      <c r="B68" t="str">
        <f>LEFT(A68,FIND(" / ",A68)-1)</f>
        <v>Lumenis-Customer-App</v>
      </c>
      <c r="C68" t="str">
        <f>RIGHT(A68, LEN(A68) - FIND(" / ", A68) - 2)</f>
        <v xml:space="preserve">Generic Bundle Admin </v>
      </c>
      <c r="D68" t="s">
        <v>168</v>
      </c>
      <c r="E68" t="s">
        <v>312</v>
      </c>
      <c r="G68" t="s">
        <v>319</v>
      </c>
    </row>
    <row r="69" spans="1:7" x14ac:dyDescent="0.25">
      <c r="A69" t="s">
        <v>169</v>
      </c>
      <c r="B69" t="str">
        <f>LEFT(A69,FIND(" / ",A69)-1)</f>
        <v>Lumenis-Customer-App</v>
      </c>
      <c r="C69" t="str">
        <f>RIGHT(A69, LEN(A69) - FIND(" / ", A69) - 2)</f>
        <v xml:space="preserve">Generic Bundle Authority </v>
      </c>
      <c r="D69" t="s">
        <v>170</v>
      </c>
      <c r="E69" t="s">
        <v>312</v>
      </c>
      <c r="G69" t="s">
        <v>319</v>
      </c>
    </row>
    <row r="70" spans="1:7" x14ac:dyDescent="0.25">
      <c r="A70" t="s">
        <v>171</v>
      </c>
      <c r="B70" t="str">
        <f>LEFT(A70,FIND(" / ",A70)-1)</f>
        <v>Lumenis-Customer-App</v>
      </c>
      <c r="C70" t="str">
        <f>RIGHT(A70, LEN(A70) - FIND(" / ", A70) - 2)</f>
        <v xml:space="preserve">Generic Bundle Cart </v>
      </c>
      <c r="D70" t="s">
        <v>172</v>
      </c>
      <c r="E70" t="s">
        <v>312</v>
      </c>
      <c r="G70" t="s">
        <v>319</v>
      </c>
    </row>
    <row r="71" spans="1:7" x14ac:dyDescent="0.25">
      <c r="A71" t="s">
        <v>173</v>
      </c>
      <c r="B71" t="str">
        <f>LEFT(A71,FIND(" / ",A71)-1)</f>
        <v>Lumenis-Customer-App</v>
      </c>
      <c r="C71" t="str">
        <f>RIGHT(A71, LEN(A71) - FIND(" / ", A71) - 2)</f>
        <v xml:space="preserve">Generic Bundle Common </v>
      </c>
      <c r="D71" t="s">
        <v>174</v>
      </c>
      <c r="E71" t="s">
        <v>312</v>
      </c>
      <c r="G71" t="s">
        <v>319</v>
      </c>
    </row>
    <row r="72" spans="1:7" x14ac:dyDescent="0.25">
      <c r="A72" t="s">
        <v>175</v>
      </c>
      <c r="B72" t="str">
        <f>LEFT(A72,FIND(" / ",A72)-1)</f>
        <v>Lumenis-Customer-App</v>
      </c>
      <c r="C72" t="str">
        <f>RIGHT(A72, LEN(A72) - FIND(" / ", A72) - 2)</f>
        <v xml:space="preserve">Generic Bundle Entity </v>
      </c>
      <c r="D72" t="s">
        <v>176</v>
      </c>
      <c r="E72" t="s">
        <v>312</v>
      </c>
      <c r="G72" t="s">
        <v>319</v>
      </c>
    </row>
    <row r="73" spans="1:7" x14ac:dyDescent="0.25">
      <c r="A73" t="s">
        <v>177</v>
      </c>
      <c r="B73" t="str">
        <f>LEFT(A73,FIND(" / ",A73)-1)</f>
        <v>Lumenis-Customer-App</v>
      </c>
      <c r="C73" t="str">
        <f>RIGHT(A73, LEN(A73) - FIND(" / ", A73) - 2)</f>
        <v xml:space="preserve">Generic Bundle Features </v>
      </c>
      <c r="D73" t="s">
        <v>178</v>
      </c>
      <c r="E73" t="s">
        <v>312</v>
      </c>
      <c r="G73" t="s">
        <v>319</v>
      </c>
    </row>
    <row r="74" spans="1:7" x14ac:dyDescent="0.25">
      <c r="A74" t="s">
        <v>179</v>
      </c>
      <c r="B74" t="str">
        <f>LEFT(A74,FIND(" / ",A74)-1)</f>
        <v>Lumenis-Customer-App</v>
      </c>
      <c r="C74" t="str">
        <f>RIGHT(A74, LEN(A74) - FIND(" / ", A74) - 2)</f>
        <v xml:space="preserve">Generic Bundle Forms </v>
      </c>
      <c r="D74" t="s">
        <v>180</v>
      </c>
      <c r="E74" t="s">
        <v>312</v>
      </c>
      <c r="G74" t="s">
        <v>319</v>
      </c>
    </row>
    <row r="75" spans="1:7" x14ac:dyDescent="0.25">
      <c r="A75" t="s">
        <v>181</v>
      </c>
      <c r="B75" t="str">
        <f>LEFT(A75,FIND(" / ",A75)-1)</f>
        <v>Lumenis-Customer-App</v>
      </c>
      <c r="C75" t="str">
        <f>RIGHT(A75, LEN(A75) - FIND(" / ", A75) - 2)</f>
        <v xml:space="preserve">Generic Bundle Menu </v>
      </c>
      <c r="D75" t="s">
        <v>182</v>
      </c>
      <c r="E75" t="s">
        <v>312</v>
      </c>
      <c r="G75" t="s">
        <v>319</v>
      </c>
    </row>
    <row r="76" spans="1:7" x14ac:dyDescent="0.25">
      <c r="A76" t="s">
        <v>183</v>
      </c>
      <c r="B76" t="str">
        <f>LEFT(A76,FIND(" / ",A76)-1)</f>
        <v>Lumenis-Customer-App</v>
      </c>
      <c r="C76" t="str">
        <f>RIGHT(A76, LEN(A76) - FIND(" / ", A76) - 2)</f>
        <v xml:space="preserve">Generic Bundle Organization </v>
      </c>
      <c r="D76" t="s">
        <v>184</v>
      </c>
      <c r="E76" t="s">
        <v>312</v>
      </c>
      <c r="G76" t="s">
        <v>319</v>
      </c>
    </row>
    <row r="77" spans="1:7" x14ac:dyDescent="0.25">
      <c r="A77" t="s">
        <v>185</v>
      </c>
      <c r="B77" t="str">
        <f>LEFT(A77,FIND(" / ",A77)-1)</f>
        <v>Lumenis-Customer-App</v>
      </c>
      <c r="C77" t="str">
        <f>RIGHT(A77, LEN(A77) - FIND(" / ", A77) - 2)</f>
        <v xml:space="preserve">Generic Bundle Product </v>
      </c>
      <c r="D77" t="s">
        <v>186</v>
      </c>
      <c r="E77" t="s">
        <v>312</v>
      </c>
      <c r="G77" t="s">
        <v>319</v>
      </c>
    </row>
    <row r="78" spans="1:7" x14ac:dyDescent="0.25">
      <c r="A78" t="s">
        <v>187</v>
      </c>
      <c r="B78" t="str">
        <f>LEFT(A78,FIND(" / ",A78)-1)</f>
        <v>Lumenis-Customer-App</v>
      </c>
      <c r="C78" t="str">
        <f>RIGHT(A78, LEN(A78) - FIND(" / ", A78) - 2)</f>
        <v xml:space="preserve">Generic Bundle User </v>
      </c>
      <c r="D78" t="s">
        <v>188</v>
      </c>
      <c r="E78" t="s">
        <v>312</v>
      </c>
      <c r="G78" t="s">
        <v>319</v>
      </c>
    </row>
    <row r="79" spans="1:7" x14ac:dyDescent="0.25">
      <c r="A79" t="s">
        <v>189</v>
      </c>
      <c r="B79" t="str">
        <f>LEFT(A79,FIND(" / ",A79)-1)</f>
        <v>Lumenis-Customer-App</v>
      </c>
      <c r="C79" t="str">
        <f>RIGHT(A79, LEN(A79) - FIND(" / ", A79) - 2)</f>
        <v xml:space="preserve">generuc-bundle-menu </v>
      </c>
      <c r="D79" t="s">
        <v>190</v>
      </c>
      <c r="E79" t="s">
        <v>312</v>
      </c>
      <c r="G79" t="s">
        <v>319</v>
      </c>
    </row>
    <row r="80" spans="1:7" x14ac:dyDescent="0.25">
      <c r="A80" t="s">
        <v>191</v>
      </c>
      <c r="B80" t="str">
        <f>LEFT(A80,FIND(" / ",A80)-1)</f>
        <v>Lumenis-Customer-App</v>
      </c>
      <c r="C80" t="str">
        <f>RIGHT(A80, LEN(A80) - FIND(" / ", A80) - 2)</f>
        <v xml:space="preserve">Http Cache Bundle </v>
      </c>
      <c r="D80" t="s">
        <v>192</v>
      </c>
      <c r="E80" t="s">
        <v>312</v>
      </c>
      <c r="G80" t="s">
        <v>319</v>
      </c>
    </row>
    <row r="81" spans="1:7" x14ac:dyDescent="0.25">
      <c r="A81" t="s">
        <v>193</v>
      </c>
      <c r="B81" t="str">
        <f>LEFT(A81,FIND(" / ",A81)-1)</f>
        <v>Lumenis-Customer-App</v>
      </c>
      <c r="C81" t="str">
        <f>RIGHT(A81, LEN(A81) - FIND(" / ", A81) - 2)</f>
        <v xml:space="preserve">Identifier </v>
      </c>
      <c r="D81" t="s">
        <v>194</v>
      </c>
      <c r="E81" t="s">
        <v>312</v>
      </c>
      <c r="G81" t="s">
        <v>319</v>
      </c>
    </row>
    <row r="82" spans="1:7" x14ac:dyDescent="0.25">
      <c r="A82" t="s">
        <v>195</v>
      </c>
      <c r="B82" t="str">
        <f>LEFT(A82,FIND(" / ",A82)-1)</f>
        <v>Lumenis-Customer-App</v>
      </c>
      <c r="C82" t="str">
        <f>RIGHT(A82, LEN(A82) - FIND(" / ", A82) - 2)</f>
        <v xml:space="preserve">Language </v>
      </c>
      <c r="D82" t="s">
        <v>196</v>
      </c>
      <c r="E82" t="s">
        <v>312</v>
      </c>
      <c r="G82" t="s">
        <v>319</v>
      </c>
    </row>
    <row r="83" spans="1:7" x14ac:dyDescent="0.25">
      <c r="A83" t="s">
        <v>197</v>
      </c>
      <c r="B83" t="str">
        <f>LEFT(A83,FIND(" / ",A83)-1)</f>
        <v>Lumenis-Customer-App</v>
      </c>
      <c r="C83" t="str">
        <f>RIGHT(A83, LEN(A83) - FIND(" / ", A83) - 2)</f>
        <v xml:space="preserve">Local Infrastructure </v>
      </c>
      <c r="D83" t="s">
        <v>198</v>
      </c>
      <c r="E83" t="s">
        <v>312</v>
      </c>
      <c r="G83" t="s">
        <v>319</v>
      </c>
    </row>
    <row r="84" spans="1:7" x14ac:dyDescent="0.25">
      <c r="A84" t="s">
        <v>199</v>
      </c>
      <c r="B84" t="str">
        <f>LEFT(A84,FIND(" / ",A84)-1)</f>
        <v>Lumenis-Customer-App</v>
      </c>
      <c r="C84" t="str">
        <f>RIGHT(A84, LEN(A84) - FIND(" / ", A84) - 2)</f>
        <v xml:space="preserve">Lumenis Next Gen Back-end </v>
      </c>
      <c r="D84" t="s">
        <v>200</v>
      </c>
      <c r="E84" t="s">
        <v>312</v>
      </c>
      <c r="G84" t="s">
        <v>319</v>
      </c>
    </row>
    <row r="85" spans="1:7" x14ac:dyDescent="0.25">
      <c r="A85" t="s">
        <v>201</v>
      </c>
      <c r="B85" t="str">
        <f>LEFT(A85,FIND(" / ",A85)-1)</f>
        <v>Lumenis-Customer-App</v>
      </c>
      <c r="C85" t="str">
        <f>RIGHT(A85, LEN(A85) - FIND(" / ", A85) - 2)</f>
        <v xml:space="preserve">Lumenis Nssm </v>
      </c>
      <c r="D85" t="s">
        <v>202</v>
      </c>
      <c r="E85" t="s">
        <v>312</v>
      </c>
      <c r="G85" t="s">
        <v>319</v>
      </c>
    </row>
    <row r="86" spans="1:7" x14ac:dyDescent="0.25">
      <c r="A86" t="s">
        <v>203</v>
      </c>
      <c r="B86" t="str">
        <f>LEFT(A86,FIND(" / ",A86)-1)</f>
        <v>Lumenis-Customer-App</v>
      </c>
      <c r="C86" t="str">
        <f>RIGHT(A86, LEN(A86) - FIND(" / ", A86) - 2)</f>
        <v xml:space="preserve">Manifest </v>
      </c>
      <c r="D86" t="s">
        <v>204</v>
      </c>
      <c r="E86" t="s">
        <v>312</v>
      </c>
      <c r="G86" t="s">
        <v>319</v>
      </c>
    </row>
    <row r="87" spans="1:7" x14ac:dyDescent="0.25">
      <c r="A87" t="s">
        <v>205</v>
      </c>
      <c r="B87" t="str">
        <f>LEFT(A87,FIND(" / ",A87)-1)</f>
        <v>Lumenis-Customer-App</v>
      </c>
      <c r="C87" t="str">
        <f>RIGHT(A87, LEN(A87) - FIND(" / ", A87) - 2)</f>
        <v xml:space="preserve">menu </v>
      </c>
      <c r="D87" t="s">
        <v>206</v>
      </c>
      <c r="E87" t="s">
        <v>312</v>
      </c>
      <c r="G87" t="s">
        <v>319</v>
      </c>
    </row>
    <row r="88" spans="1:7" x14ac:dyDescent="0.25">
      <c r="A88" t="s">
        <v>207</v>
      </c>
      <c r="B88" t="str">
        <f>LEFT(A88,FIND(" / ",A88)-1)</f>
        <v>Lumenis-Customer-App</v>
      </c>
      <c r="C88" t="str">
        <f>RIGHT(A88, LEN(A88) - FIND(" / ", A88) - 2)</f>
        <v xml:space="preserve">Next Gen Backoffice Frontend </v>
      </c>
      <c r="D88" t="s">
        <v>208</v>
      </c>
      <c r="E88" t="s">
        <v>312</v>
      </c>
      <c r="G88" t="s">
        <v>319</v>
      </c>
    </row>
    <row r="89" spans="1:7" x14ac:dyDescent="0.25">
      <c r="A89" t="s">
        <v>209</v>
      </c>
      <c r="B89" t="str">
        <f>LEFT(A89,FIND(" / ",A89)-1)</f>
        <v>Lumenis-Customer-App</v>
      </c>
      <c r="C89" t="str">
        <f>RIGHT(A89, LEN(A89) - FIND(" / ", A89) - 2)</f>
        <v xml:space="preserve">Next Gen Customer App </v>
      </c>
      <c r="D89" t="s">
        <v>210</v>
      </c>
      <c r="E89" t="s">
        <v>312</v>
      </c>
      <c r="G89" t="s">
        <v>319</v>
      </c>
    </row>
    <row r="90" spans="1:7" x14ac:dyDescent="0.25">
      <c r="A90" t="s">
        <v>211</v>
      </c>
      <c r="B90" t="str">
        <f>LEFT(A90,FIND(" / ",A90)-1)</f>
        <v>Lumenis-Customer-App</v>
      </c>
      <c r="C90" t="str">
        <f>RIGHT(A90, LEN(A90) - FIND(" / ", A90) - 2)</f>
        <v xml:space="preserve">Query Table </v>
      </c>
      <c r="D90" t="s">
        <v>212</v>
      </c>
      <c r="E90" t="s">
        <v>312</v>
      </c>
      <c r="G90" t="s">
        <v>319</v>
      </c>
    </row>
    <row r="91" spans="1:7" x14ac:dyDescent="0.25">
      <c r="A91" t="s">
        <v>213</v>
      </c>
      <c r="B91" t="str">
        <f>LEFT(A91,FIND(" / ",A91)-1)</f>
        <v>Lumenis-Customer-App</v>
      </c>
      <c r="C91" t="str">
        <f>RIGHT(A91, LEN(A91) - FIND(" / ", A91) - 2)</f>
        <v xml:space="preserve">server-configuration </v>
      </c>
      <c r="D91" t="s">
        <v>214</v>
      </c>
      <c r="E91" t="s">
        <v>312</v>
      </c>
      <c r="G91" t="s">
        <v>319</v>
      </c>
    </row>
    <row r="92" spans="1:7" x14ac:dyDescent="0.25">
      <c r="A92" t="s">
        <v>133</v>
      </c>
      <c r="B92" t="str">
        <f>LEFT(A92,FIND(" / ",A92)-1)</f>
        <v>Lumenis-Customer-App</v>
      </c>
      <c r="C92" t="str">
        <f>RIGHT(A92, LEN(A92) - FIND(" / ", A92) - 2)</f>
        <v xml:space="preserve">silex-cors-provider </v>
      </c>
      <c r="D92" t="s">
        <v>215</v>
      </c>
      <c r="E92" t="s">
        <v>312</v>
      </c>
      <c r="G92" t="s">
        <v>319</v>
      </c>
    </row>
    <row r="93" spans="1:7" x14ac:dyDescent="0.25">
      <c r="A93" t="s">
        <v>216</v>
      </c>
      <c r="B93" t="str">
        <f>LEFT(A93,FIND(" / ",A93)-1)</f>
        <v>Lumenis-Customer-App</v>
      </c>
      <c r="C93" t="str">
        <f>RIGHT(A93, LEN(A93) - FIND(" / ", A93) - 2)</f>
        <v xml:space="preserve">silex-cors-provider-test </v>
      </c>
      <c r="D93" t="s">
        <v>217</v>
      </c>
      <c r="E93" t="s">
        <v>312</v>
      </c>
      <c r="G93" t="s">
        <v>319</v>
      </c>
    </row>
    <row r="94" spans="1:7" x14ac:dyDescent="0.25">
      <c r="A94" t="s">
        <v>218</v>
      </c>
      <c r="B94" t="str">
        <f>LEFT(A94,FIND(" / ",A94)-1)</f>
        <v>Lumenis-Customer-App</v>
      </c>
      <c r="C94" t="str">
        <f>RIGHT(A94, LEN(A94) - FIND(" / ", A94) - 2)</f>
        <v xml:space="preserve">Simplesamlphp Module Sigmodule </v>
      </c>
      <c r="D94" t="s">
        <v>219</v>
      </c>
      <c r="E94" t="s">
        <v>312</v>
      </c>
      <c r="G94" t="s">
        <v>319</v>
      </c>
    </row>
    <row r="95" spans="1:7" x14ac:dyDescent="0.25">
      <c r="A95" t="s">
        <v>220</v>
      </c>
      <c r="B95" t="str">
        <f>LEFT(A95,FIND(" / ",A95)-1)</f>
        <v>Lumenis-Customer-App</v>
      </c>
      <c r="C95" t="str">
        <f>RIGHT(A95, LEN(A95) - FIND(" / ", A95) - 2)</f>
        <v xml:space="preserve">Sys Lumenis Dev </v>
      </c>
      <c r="D95" t="s">
        <v>221</v>
      </c>
      <c r="E95" t="s">
        <v>312</v>
      </c>
      <c r="G95" t="s">
        <v>319</v>
      </c>
    </row>
    <row r="96" spans="1:7" x14ac:dyDescent="0.25">
      <c r="A96" t="s">
        <v>222</v>
      </c>
      <c r="B96" t="str">
        <f>LEFT(A96,FIND(" / ",A96)-1)</f>
        <v>Lumenis-Customer-App-Clean</v>
      </c>
      <c r="C96" t="str">
        <f>RIGHT(A96, LEN(A96) - FIND(" / ", A96) - 2)</f>
        <v xml:space="preserve">Customer App Clean </v>
      </c>
      <c r="D96" t="s">
        <v>223</v>
      </c>
      <c r="E96" t="s">
        <v>312</v>
      </c>
      <c r="G96" t="s">
        <v>319</v>
      </c>
    </row>
    <row r="97" spans="1:7" x14ac:dyDescent="0.25">
      <c r="A97" t="s">
        <v>10</v>
      </c>
      <c r="B97" t="str">
        <f>LEFT(A97,FIND(" / ",A97)-1)</f>
        <v>LumenisX-Group</v>
      </c>
      <c r="C97" t="str">
        <f>RIGHT(A97, LEN(A97) - FIND(" / ", A97) - 2)</f>
        <v xml:space="preserve">Distributed_Automation_Tester_Agent </v>
      </c>
      <c r="D97" t="s">
        <v>11</v>
      </c>
      <c r="E97" t="s">
        <v>224</v>
      </c>
      <c r="F97" t="s">
        <v>225</v>
      </c>
      <c r="G97" t="s">
        <v>311</v>
      </c>
    </row>
    <row r="98" spans="1:7" x14ac:dyDescent="0.25">
      <c r="A98" t="s">
        <v>226</v>
      </c>
      <c r="B98" t="str">
        <f>LEFT(A98,FIND(" / ",A98)-1)</f>
        <v>LumenisX-Group</v>
      </c>
      <c r="C98" t="str">
        <f>RIGHT(A98, LEN(A98) - FIND(" / ", A98) - 2)</f>
        <v xml:space="preserve">Distributed_Automation_Tester_Center </v>
      </c>
      <c r="D98" t="s">
        <v>227</v>
      </c>
      <c r="E98" t="s">
        <v>224</v>
      </c>
      <c r="F98" t="s">
        <v>225</v>
      </c>
      <c r="G98" t="s">
        <v>311</v>
      </c>
    </row>
    <row r="99" spans="1:7" x14ac:dyDescent="0.25">
      <c r="A99" t="s">
        <v>228</v>
      </c>
      <c r="B99" t="str">
        <f>LEFT(A99,FIND(" / ",A99)-1)</f>
        <v>LumenisX-Group</v>
      </c>
      <c r="C99" t="str">
        <f>RIGHT(A99, LEN(A99) - FIND(" / ", A99) - 2)</f>
        <v xml:space="preserve">Eventviewer </v>
      </c>
      <c r="D99" t="s">
        <v>229</v>
      </c>
      <c r="E99" t="s">
        <v>224</v>
      </c>
      <c r="F99" t="s">
        <v>225</v>
      </c>
      <c r="G99" t="s">
        <v>311</v>
      </c>
    </row>
    <row r="100" spans="1:7" x14ac:dyDescent="0.25">
      <c r="A100" t="s">
        <v>12</v>
      </c>
      <c r="B100" t="str">
        <f>LEFT(A100,FIND(" / ",A100)-1)</f>
        <v>LumenisX-Group</v>
      </c>
      <c r="C100" t="str">
        <f>RIGHT(A100, LEN(A100) - FIND(" / ", A100) - 2)</f>
        <v xml:space="preserve">FullAutomation </v>
      </c>
      <c r="D100" t="s">
        <v>13</v>
      </c>
      <c r="E100" t="s">
        <v>224</v>
      </c>
      <c r="F100" t="s">
        <v>225</v>
      </c>
      <c r="G100" t="s">
        <v>311</v>
      </c>
    </row>
    <row r="101" spans="1:7" x14ac:dyDescent="0.25">
      <c r="A101" t="s">
        <v>230</v>
      </c>
      <c r="B101" t="str">
        <f>LEFT(A101,FIND(" / ",A101)-1)</f>
        <v>LumenisX-Group</v>
      </c>
      <c r="C101" t="str">
        <f>RIGHT(A101, LEN(A101) - FIND(" / ", A101) - 2)</f>
        <v xml:space="preserve">LumenisX All Platforms </v>
      </c>
      <c r="D101" t="s">
        <v>231</v>
      </c>
      <c r="E101" t="s">
        <v>224</v>
      </c>
      <c r="F101" t="s">
        <v>225</v>
      </c>
      <c r="G101" t="s">
        <v>311</v>
      </c>
    </row>
    <row r="102" spans="1:7" x14ac:dyDescent="0.25">
      <c r="A102" t="s">
        <v>14</v>
      </c>
      <c r="B102" t="str">
        <f>LEFT(A102,FIND(" / ",A102)-1)</f>
        <v>LumenisX-Group</v>
      </c>
      <c r="C102" t="str">
        <f>RIGHT(A102, LEN(A102) - FIND(" / ", A102) - 2)</f>
        <v xml:space="preserve">LumenisX_API_Integration </v>
      </c>
      <c r="D102" t="s">
        <v>15</v>
      </c>
      <c r="E102" t="s">
        <v>224</v>
      </c>
      <c r="F102" t="s">
        <v>225</v>
      </c>
      <c r="G102" t="s">
        <v>311</v>
      </c>
    </row>
    <row r="103" spans="1:7" x14ac:dyDescent="0.25">
      <c r="A103" t="s">
        <v>16</v>
      </c>
      <c r="B103" t="str">
        <f>LEFT(A103,FIND(" / ",A103)-1)</f>
        <v>LumenisX-Group</v>
      </c>
      <c r="C103" t="str">
        <f>RIGHT(A103, LEN(A103) - FIND(" / ", A103) - 2)</f>
        <v xml:space="preserve">Remote_Service_Client </v>
      </c>
      <c r="D103" t="s">
        <v>17</v>
      </c>
      <c r="E103" t="s">
        <v>224</v>
      </c>
      <c r="F103" t="s">
        <v>225</v>
      </c>
      <c r="G103" t="s">
        <v>311</v>
      </c>
    </row>
    <row r="104" spans="1:7" x14ac:dyDescent="0.25">
      <c r="A104" t="s">
        <v>232</v>
      </c>
      <c r="B104" t="str">
        <f>LEFT(A104,FIND(" / ",A104)-1)</f>
        <v>LumenisX-Group</v>
      </c>
      <c r="C104" t="str">
        <f>RIGHT(A104, LEN(A104) - FIND(" / ", A104) - 2)</f>
        <v xml:space="preserve">RemoteService_SRC </v>
      </c>
      <c r="D104" t="s">
        <v>233</v>
      </c>
      <c r="E104" t="s">
        <v>224</v>
      </c>
      <c r="F104" t="s">
        <v>225</v>
      </c>
      <c r="G104" t="s">
        <v>311</v>
      </c>
    </row>
    <row r="105" spans="1:7" x14ac:dyDescent="0.25">
      <c r="A105" t="s">
        <v>234</v>
      </c>
      <c r="B105" t="str">
        <f>LEFT(A105,FIND(" / ",A105)-1)</f>
        <v>LumenisX-Group</v>
      </c>
      <c r="C105" t="str">
        <f>RIGHT(A105, LEN(A105) - FIND(" / ", A105) - 2)</f>
        <v xml:space="preserve">WebAutomation </v>
      </c>
      <c r="D105" t="s">
        <v>235</v>
      </c>
      <c r="E105" t="s">
        <v>224</v>
      </c>
      <c r="F105" t="s">
        <v>225</v>
      </c>
      <c r="G105" t="s">
        <v>311</v>
      </c>
    </row>
    <row r="106" spans="1:7" x14ac:dyDescent="0.25">
      <c r="A106" t="s">
        <v>236</v>
      </c>
      <c r="B106" t="str">
        <f>LEFT(A106,FIND(" / ",A106)-1)</f>
        <v>NetworkCommunicator-Group</v>
      </c>
      <c r="C106" t="str">
        <f>RIGHT(A106, LEN(A106) - FIND(" / ", A106) - 2)</f>
        <v xml:space="preserve">NetworkCommunicator </v>
      </c>
      <c r="D106" t="s">
        <v>237</v>
      </c>
      <c r="E106" t="s">
        <v>224</v>
      </c>
      <c r="F106" t="s">
        <v>238</v>
      </c>
      <c r="G106" t="s">
        <v>311</v>
      </c>
    </row>
    <row r="107" spans="1:7" x14ac:dyDescent="0.25">
      <c r="A107" t="s">
        <v>239</v>
      </c>
      <c r="B107" t="str">
        <f>LEFT(A107,FIND(" / ",A107)-1)</f>
        <v>Opsworks-Group</v>
      </c>
      <c r="C107" t="str">
        <f>RIGHT(A107, LEN(A107) - FIND(" / ", A107) - 2)</f>
        <v xml:space="preserve">devops-nsis </v>
      </c>
      <c r="D107" t="s">
        <v>240</v>
      </c>
      <c r="E107" t="s">
        <v>224</v>
      </c>
      <c r="G107" t="s">
        <v>310</v>
      </c>
    </row>
    <row r="108" spans="1:7" x14ac:dyDescent="0.25">
      <c r="A108" t="s">
        <v>8</v>
      </c>
      <c r="B108" t="str">
        <f>LEFT(A108,FIND(" / ",A108)-1)</f>
        <v>Opsworks-Group</v>
      </c>
      <c r="C108" t="str">
        <f>RIGHT(A108, LEN(A108) - FIND(" / ", A108) - 2)</f>
        <v xml:space="preserve">Hair Growth </v>
      </c>
      <c r="D108" t="s">
        <v>9</v>
      </c>
      <c r="E108" t="s">
        <v>224</v>
      </c>
      <c r="G108" t="s">
        <v>310</v>
      </c>
    </row>
    <row r="109" spans="1:7" x14ac:dyDescent="0.25">
      <c r="A109" t="s">
        <v>241</v>
      </c>
      <c r="B109" t="str">
        <f>LEFT(A109,FIND(" / ",A109)-1)</f>
        <v>Opsworks-Group</v>
      </c>
      <c r="C109" t="str">
        <f>RIGHT(A109, LEN(A109) - FIND(" / ", A109) - 2)</f>
        <v xml:space="preserve">Jenkins-Dashboard </v>
      </c>
      <c r="D109" t="s">
        <v>242</v>
      </c>
      <c r="E109" t="s">
        <v>224</v>
      </c>
      <c r="G109" t="s">
        <v>310</v>
      </c>
    </row>
    <row r="110" spans="1:7" x14ac:dyDescent="0.25">
      <c r="A110" t="s">
        <v>243</v>
      </c>
      <c r="B110" t="str">
        <f>LEFT(A110,FIND(" / ",A110)-1)</f>
        <v>Optalmic-Group</v>
      </c>
      <c r="C110" t="str">
        <f>RIGHT(A110, LEN(A110) - FIND(" / ", A110) - 2)</f>
        <v xml:space="preserve">HudProject </v>
      </c>
      <c r="D110" t="s">
        <v>244</v>
      </c>
      <c r="E110" t="s">
        <v>313</v>
      </c>
      <c r="G110" t="s">
        <v>309</v>
      </c>
    </row>
    <row r="111" spans="1:7" x14ac:dyDescent="0.25">
      <c r="A111" t="s">
        <v>245</v>
      </c>
      <c r="B111" t="str">
        <f>LEFT(A111,FIND(" / ",A111)-1)</f>
        <v>Optalmic-Group</v>
      </c>
      <c r="C111" t="str">
        <f>RIGHT(A111, LEN(A111) - FIND(" / ", A111) - 2)</f>
        <v xml:space="preserve">HudProject 2 </v>
      </c>
      <c r="D111" t="s">
        <v>246</v>
      </c>
      <c r="E111" t="s">
        <v>313</v>
      </c>
      <c r="G111" t="s">
        <v>309</v>
      </c>
    </row>
    <row r="112" spans="1:7" x14ac:dyDescent="0.25">
      <c r="A112" t="s">
        <v>20</v>
      </c>
      <c r="B112" t="str">
        <f>LEFT(A112,FIND(" / ",A112)-1)</f>
        <v>Optalmic-Group</v>
      </c>
      <c r="C112" t="str">
        <f>RIGHT(A112, LEN(A112) - FIND(" / ", A112) - 2)</f>
        <v xml:space="preserve">OptiLight_Automation_POC </v>
      </c>
      <c r="D112" t="s">
        <v>21</v>
      </c>
      <c r="E112" t="s">
        <v>313</v>
      </c>
      <c r="G112" t="s">
        <v>309</v>
      </c>
    </row>
    <row r="113" spans="1:7" x14ac:dyDescent="0.25">
      <c r="A113" t="s">
        <v>247</v>
      </c>
      <c r="B113" t="str">
        <f>LEFT(A113,FIND(" / ",A113)-1)</f>
        <v>Quattro-Group</v>
      </c>
      <c r="C113" t="str">
        <f>RIGHT(A113, LEN(A113) - FIND(" / ", A113) - 2)</f>
        <v xml:space="preserve">Quattro </v>
      </c>
      <c r="D113" s="1" t="s">
        <v>248</v>
      </c>
      <c r="E113" t="s">
        <v>249</v>
      </c>
      <c r="F113" t="s">
        <v>250</v>
      </c>
      <c r="G113" t="s">
        <v>310</v>
      </c>
    </row>
    <row r="114" spans="1:7" x14ac:dyDescent="0.25">
      <c r="A114" t="s">
        <v>251</v>
      </c>
      <c r="B114" t="str">
        <f>LEFT(A114,FIND(" / ",A114)-1)</f>
        <v>Radd-Group</v>
      </c>
      <c r="C114" t="str">
        <f>RIGHT(A114, LEN(A114) - FIND(" / ", A114) - 2)</f>
        <v xml:space="preserve">MOXXTip </v>
      </c>
      <c r="D114" t="s">
        <v>252</v>
      </c>
      <c r="E114" t="s">
        <v>249</v>
      </c>
      <c r="F114" t="s">
        <v>253</v>
      </c>
      <c r="G114" t="s">
        <v>310</v>
      </c>
    </row>
    <row r="115" spans="1:7" x14ac:dyDescent="0.25">
      <c r="A115" t="s">
        <v>254</v>
      </c>
      <c r="B115" t="str">
        <f>LEFT(A115,FIND(" / ",A115)-1)</f>
        <v>Radd-Group</v>
      </c>
      <c r="C115" t="str">
        <f>RIGHT(A115, LEN(A115) - FIND(" / ", A115) - 2)</f>
        <v xml:space="preserve">RADD FPGA </v>
      </c>
      <c r="D115" t="s">
        <v>255</v>
      </c>
      <c r="E115" t="s">
        <v>249</v>
      </c>
      <c r="F115" t="s">
        <v>253</v>
      </c>
      <c r="G115" t="s">
        <v>310</v>
      </c>
    </row>
    <row r="116" spans="1:7" x14ac:dyDescent="0.25">
      <c r="A116" t="s">
        <v>0</v>
      </c>
      <c r="B116" t="str">
        <f>LEFT(A116,FIND(" / ",A116)-1)</f>
        <v>Radd-Group</v>
      </c>
      <c r="C116" t="str">
        <f>RIGHT(A116, LEN(A116) - FIND(" / ", A116) - 2)</f>
        <v xml:space="preserve">RADD RF </v>
      </c>
      <c r="D116" t="s">
        <v>1</v>
      </c>
      <c r="E116" t="s">
        <v>249</v>
      </c>
      <c r="F116" t="s">
        <v>253</v>
      </c>
      <c r="G116" t="s">
        <v>310</v>
      </c>
    </row>
    <row r="117" spans="1:7" x14ac:dyDescent="0.25">
      <c r="A117" t="s">
        <v>6</v>
      </c>
      <c r="B117" t="str">
        <f>LEFT(A117,FIND(" / ",A117)-1)</f>
        <v>Radd-Group</v>
      </c>
      <c r="C117" t="str">
        <f>RIGHT(A117, LEN(A117) - FIND(" / ", A117) - 2)</f>
        <v xml:space="preserve">RADD STM </v>
      </c>
      <c r="D117" t="s">
        <v>7</v>
      </c>
      <c r="E117" t="s">
        <v>249</v>
      </c>
      <c r="F117" t="s">
        <v>253</v>
      </c>
      <c r="G117" t="s">
        <v>310</v>
      </c>
    </row>
    <row r="118" spans="1:7" x14ac:dyDescent="0.25">
      <c r="A118" t="s">
        <v>2</v>
      </c>
      <c r="B118" t="str">
        <f>LEFT(A118,FIND(" / ",A118)-1)</f>
        <v>Radd-Group</v>
      </c>
      <c r="C118" t="str">
        <f>RIGHT(A118, LEN(A118) - FIND(" / ", A118) - 2)</f>
        <v xml:space="preserve">RADD Tip </v>
      </c>
      <c r="D118" t="s">
        <v>3</v>
      </c>
      <c r="E118" t="s">
        <v>249</v>
      </c>
      <c r="F118" t="s">
        <v>253</v>
      </c>
      <c r="G118" t="s">
        <v>310</v>
      </c>
    </row>
    <row r="119" spans="1:7" x14ac:dyDescent="0.25">
      <c r="A119" t="s">
        <v>256</v>
      </c>
      <c r="B119" t="str">
        <f>LEFT(A119,FIND(" / ",A119)-1)</f>
        <v>Radd-Group</v>
      </c>
      <c r="C119" t="str">
        <f>RIGHT(A119, LEN(A119) - FIND(" / ", A119) - 2)</f>
        <v xml:space="preserve">RADDPh3 </v>
      </c>
      <c r="D119" t="s">
        <v>257</v>
      </c>
      <c r="E119" t="s">
        <v>249</v>
      </c>
      <c r="F119" t="s">
        <v>253</v>
      </c>
      <c r="G119" t="s">
        <v>310</v>
      </c>
    </row>
    <row r="120" spans="1:7" x14ac:dyDescent="0.25">
      <c r="A120" t="s">
        <v>258</v>
      </c>
      <c r="B120" t="str">
        <f>LEFT(A120,FIND(" / ",A120)-1)</f>
        <v>Sergey-Group</v>
      </c>
      <c r="C120" t="str">
        <f>RIGHT(A120, LEN(A120) - FIND(" / ", A120) - 2)</f>
        <v xml:space="preserve">Devops </v>
      </c>
      <c r="D120" t="s">
        <v>259</v>
      </c>
      <c r="E120" t="s">
        <v>224</v>
      </c>
      <c r="G120" t="s">
        <v>310</v>
      </c>
    </row>
    <row r="121" spans="1:7" x14ac:dyDescent="0.25">
      <c r="A121" t="s">
        <v>260</v>
      </c>
      <c r="B121" t="str">
        <f>LEFT(A121,FIND(" / ",A121)-1)</f>
        <v>Sergey-Group</v>
      </c>
      <c r="C121" t="str">
        <f>RIGHT(A121, LEN(A121) - FIND(" / ", A121) - 2)</f>
        <v xml:space="preserve">Devops N </v>
      </c>
      <c r="D121" t="s">
        <v>261</v>
      </c>
      <c r="E121" t="s">
        <v>224</v>
      </c>
      <c r="G121" t="s">
        <v>310</v>
      </c>
    </row>
    <row r="122" spans="1:7" x14ac:dyDescent="0.25">
      <c r="A122" t="s">
        <v>262</v>
      </c>
      <c r="B122" t="str">
        <f>LEFT(A122,FIND(" / ",A122)-1)</f>
        <v>Sergey-Group</v>
      </c>
      <c r="C122" t="str">
        <f>RIGHT(A122, LEN(A122) - FIND(" / ", A122) - 2)</f>
        <v xml:space="preserve">JenkinsCI_CD </v>
      </c>
      <c r="D122" t="s">
        <v>263</v>
      </c>
      <c r="E122" t="s">
        <v>224</v>
      </c>
      <c r="G122" t="s">
        <v>310</v>
      </c>
    </row>
    <row r="123" spans="1:7" x14ac:dyDescent="0.25">
      <c r="A123" t="s">
        <v>264</v>
      </c>
      <c r="B123" t="str">
        <f>LEFT(A123,FIND(" / ",A123)-1)</f>
        <v>Sergey-Group</v>
      </c>
      <c r="C123" t="str">
        <f>RIGHT(A123, LEN(A123) - FIND(" / ", A123) - 2)</f>
        <v xml:space="preserve">Skin Diagnostik Docker </v>
      </c>
      <c r="D123" t="s">
        <v>265</v>
      </c>
      <c r="G123" t="s">
        <v>320</v>
      </c>
    </row>
    <row r="124" spans="1:7" x14ac:dyDescent="0.25">
      <c r="A124" t="s">
        <v>266</v>
      </c>
      <c r="B124" t="str">
        <f>LEFT(A124,FIND(" / ",A124)-1)</f>
        <v>Sharp-Devops-Group</v>
      </c>
      <c r="C124" t="str">
        <f>RIGHT(A124, LEN(A124) - FIND(" / ", A124) - 2)</f>
        <v xml:space="preserve">Devops </v>
      </c>
      <c r="D124" t="s">
        <v>267</v>
      </c>
      <c r="E124" t="s">
        <v>312</v>
      </c>
      <c r="G124" t="s">
        <v>319</v>
      </c>
    </row>
    <row r="125" spans="1:7" x14ac:dyDescent="0.25">
      <c r="A125" t="s">
        <v>268</v>
      </c>
      <c r="B125" t="str">
        <f>LEFT(A125,FIND(" / ",A125)-1)</f>
        <v>Skin-Diagnostic-Group</v>
      </c>
      <c r="C125" t="str">
        <f>RIGHT(A125, LEN(A125) - FIND(" / ", A125) - 2)</f>
        <v xml:space="preserve">AlgoGstreamerSW </v>
      </c>
      <c r="D125" t="s">
        <v>269</v>
      </c>
      <c r="E125" t="s">
        <v>39</v>
      </c>
      <c r="F125" t="s">
        <v>40</v>
      </c>
      <c r="G125" t="s">
        <v>320</v>
      </c>
    </row>
    <row r="126" spans="1:7" x14ac:dyDescent="0.25">
      <c r="A126" t="s">
        <v>270</v>
      </c>
      <c r="B126" t="str">
        <f>LEFT(A126,FIND(" / ",A126)-1)</f>
        <v>Skin-Diagnostic-Group</v>
      </c>
      <c r="C126" t="str">
        <f>RIGHT(A126, LEN(A126) - FIND(" / ", A126) - 2)</f>
        <v xml:space="preserve">aws-dynamodb-react-app-test </v>
      </c>
      <c r="D126" t="s">
        <v>271</v>
      </c>
      <c r="E126" t="s">
        <v>39</v>
      </c>
      <c r="F126" t="s">
        <v>36</v>
      </c>
      <c r="G126" t="s">
        <v>320</v>
      </c>
    </row>
    <row r="127" spans="1:7" x14ac:dyDescent="0.25">
      <c r="A127" t="s">
        <v>22</v>
      </c>
      <c r="B127" t="str">
        <f>LEFT(A127,FIND(" / ",A127)-1)</f>
        <v>Skin-Diagnostic-Group</v>
      </c>
      <c r="C127" t="str">
        <f>RIGHT(A127, LEN(A127) - FIND(" / ", A127) - 2)</f>
        <v xml:space="preserve">DMD_DLPC350_Driver_Dll_for_LabView </v>
      </c>
      <c r="D127" t="s">
        <v>23</v>
      </c>
      <c r="E127" t="s">
        <v>272</v>
      </c>
      <c r="F127" t="s">
        <v>36</v>
      </c>
      <c r="G127" t="s">
        <v>320</v>
      </c>
    </row>
    <row r="128" spans="1:7" x14ac:dyDescent="0.25">
      <c r="A128" t="s">
        <v>273</v>
      </c>
      <c r="B128" t="str">
        <f>LEFT(A128,FIND(" / ",A128)-1)</f>
        <v>Skin-Diagnostic-Group</v>
      </c>
      <c r="C128" t="str">
        <f>RIGHT(A128, LEN(A128) - FIND(" / ", A128) - 2)</f>
        <v xml:space="preserve">FL_GUI_SkinDiagnostic </v>
      </c>
      <c r="D128" t="s">
        <v>274</v>
      </c>
      <c r="E128" t="s">
        <v>39</v>
      </c>
      <c r="F128" t="s">
        <v>40</v>
      </c>
      <c r="G128" t="s">
        <v>320</v>
      </c>
    </row>
    <row r="129" spans="1:7" x14ac:dyDescent="0.25">
      <c r="A129" t="s">
        <v>24</v>
      </c>
      <c r="B129" t="str">
        <f>LEFT(A129,FIND(" / ",A129)-1)</f>
        <v>Skin-Diagnostic-Group</v>
      </c>
      <c r="C129" t="str">
        <f>RIGHT(A129, LEN(A129) - FIND(" / ", A129) - 2)</f>
        <v xml:space="preserve">FPGA SkinDiagnostic Board </v>
      </c>
      <c r="D129" t="s">
        <v>25</v>
      </c>
      <c r="E129" t="s">
        <v>39</v>
      </c>
      <c r="F129" t="s">
        <v>40</v>
      </c>
      <c r="G129" t="s">
        <v>320</v>
      </c>
    </row>
    <row r="130" spans="1:7" x14ac:dyDescent="0.25">
      <c r="A130" t="s">
        <v>275</v>
      </c>
      <c r="B130" t="str">
        <f>LEFT(A130,FIND(" / ",A130)-1)</f>
        <v>Skin-Diagnostic-Group</v>
      </c>
      <c r="C130" t="str">
        <f>RIGHT(A130, LEN(A130) - FIND(" / ", A130) - 2)</f>
        <v xml:space="preserve">ImagingModule_SkinDiagnostic </v>
      </c>
      <c r="D130" t="s">
        <v>276</v>
      </c>
      <c r="E130" t="s">
        <v>39</v>
      </c>
      <c r="F130" t="s">
        <v>40</v>
      </c>
      <c r="G130" t="s">
        <v>320</v>
      </c>
    </row>
    <row r="131" spans="1:7" x14ac:dyDescent="0.25">
      <c r="A131" t="s">
        <v>277</v>
      </c>
      <c r="B131" t="str">
        <f>LEFT(A131,FIND(" / ",A131)-1)</f>
        <v>Skin-Diagnostic-Group</v>
      </c>
      <c r="C131" t="str">
        <f>RIGHT(A131, LEN(A131) - FIND(" / ", A131) - 2)</f>
        <v xml:space="preserve">ImagingModuleExec Skin-Diagnostic </v>
      </c>
      <c r="D131" t="s">
        <v>278</v>
      </c>
      <c r="E131" t="s">
        <v>39</v>
      </c>
      <c r="F131" t="s">
        <v>40</v>
      </c>
      <c r="G131" t="s">
        <v>320</v>
      </c>
    </row>
    <row r="132" spans="1:7" x14ac:dyDescent="0.25">
      <c r="A132" t="s">
        <v>279</v>
      </c>
      <c r="B132" t="str">
        <f>LEFT(A132,FIND(" / ",A132)-1)</f>
        <v>Skin-Diagnostic-Group</v>
      </c>
      <c r="C132" t="str">
        <f>RIGHT(A132, LEN(A132) - FIND(" / ", A132) - 2)</f>
        <v xml:space="preserve">SC_FlowManager </v>
      </c>
      <c r="D132" t="s">
        <v>280</v>
      </c>
      <c r="E132" t="s">
        <v>39</v>
      </c>
      <c r="F132" t="s">
        <v>40</v>
      </c>
      <c r="G132" t="s">
        <v>320</v>
      </c>
    </row>
    <row r="133" spans="1:7" x14ac:dyDescent="0.25">
      <c r="A133" t="s">
        <v>281</v>
      </c>
      <c r="B133" t="str">
        <f>LEFT(A133,FIND(" / ",A133)-1)</f>
        <v>Skin-Diagnostic-Group</v>
      </c>
      <c r="C133" t="str">
        <f>RIGHT(A133, LEN(A133) - FIND(" / ", A133) - 2)</f>
        <v xml:space="preserve">Smart-Console GUI Components </v>
      </c>
      <c r="D133" t="s">
        <v>282</v>
      </c>
      <c r="E133" t="s">
        <v>39</v>
      </c>
      <c r="F133" t="s">
        <v>40</v>
      </c>
      <c r="G133" t="s">
        <v>320</v>
      </c>
    </row>
    <row r="134" spans="1:7" x14ac:dyDescent="0.25">
      <c r="A134" t="s">
        <v>283</v>
      </c>
      <c r="B134" t="str">
        <f>LEFT(A134,FIND(" / ",A134)-1)</f>
        <v>Skin-Diagnostic-Group</v>
      </c>
      <c r="C134" t="str">
        <f>RIGHT(A134, LEN(A134) - FIND(" / ", A134) - 2)</f>
        <v xml:space="preserve">SmartIPL_SW_OSImage </v>
      </c>
      <c r="D134" t="s">
        <v>284</v>
      </c>
      <c r="E134" t="s">
        <v>39</v>
      </c>
      <c r="F134" t="s">
        <v>40</v>
      </c>
      <c r="G134" t="s">
        <v>320</v>
      </c>
    </row>
    <row r="135" spans="1:7" x14ac:dyDescent="0.25">
      <c r="A135" t="s">
        <v>285</v>
      </c>
      <c r="B135" t="str">
        <f>LEFT(A135,FIND(" / ",A135)-1)</f>
        <v>Skin-Diagnostic-Group</v>
      </c>
      <c r="C135" t="str">
        <f>RIGHT(A135, LEN(A135) - FIND(" / ", A135) - 2)</f>
        <v xml:space="preserve">SplendorX Algorithm Skin-Diagnostic </v>
      </c>
      <c r="D135" t="s">
        <v>286</v>
      </c>
      <c r="E135" t="s">
        <v>39</v>
      </c>
      <c r="F135" t="s">
        <v>36</v>
      </c>
      <c r="G135" t="s">
        <v>320</v>
      </c>
    </row>
    <row r="136" spans="1:7" x14ac:dyDescent="0.25">
      <c r="A136" t="s">
        <v>314</v>
      </c>
      <c r="B136" s="2" t="str">
        <f>LEFT(A136,FIND(" / ",A136)-1)</f>
        <v>Skin-Diagnostic-Group</v>
      </c>
      <c r="C136" s="2" t="str">
        <f>RIGHT(A136, LEN(A136) - FIND(" / ", A136) - 2)</f>
        <v xml:space="preserve">SmartIPL Algorithm Skin-Diagnostic-GroupSmartIPL Algorithm </v>
      </c>
      <c r="D136" s="1" t="s">
        <v>315</v>
      </c>
      <c r="E136" t="s">
        <v>39</v>
      </c>
      <c r="G136" t="s">
        <v>320</v>
      </c>
    </row>
    <row r="137" spans="1:7" x14ac:dyDescent="0.25">
      <c r="A137" t="s">
        <v>287</v>
      </c>
      <c r="B137" t="str">
        <f>LEFT(A137,FIND(" / ",A137)-1)</f>
        <v>Stellar-Group</v>
      </c>
      <c r="C137" t="str">
        <f>RIGHT(A137, LEN(A137) - FIND(" / ", A137) - 2)</f>
        <v xml:space="preserve">Stellar </v>
      </c>
      <c r="D137" t="s">
        <v>288</v>
      </c>
      <c r="E137" t="s">
        <v>249</v>
      </c>
      <c r="G137" t="s">
        <v>310</v>
      </c>
    </row>
    <row r="138" spans="1:7" x14ac:dyDescent="0.25">
      <c r="A138" t="s">
        <v>289</v>
      </c>
      <c r="B138" t="str">
        <f>LEFT(A138,FIND(" / ",A138)-1)</f>
        <v>Stellar-Group</v>
      </c>
      <c r="C138" t="str">
        <f>RIGHT(A138, LEN(A138) - FIND(" / ", A138) - 2)</f>
        <v xml:space="preserve">Stellar 5 02 </v>
      </c>
      <c r="D138" t="s">
        <v>290</v>
      </c>
      <c r="E138" t="s">
        <v>249</v>
      </c>
      <c r="G138" t="s">
        <v>310</v>
      </c>
    </row>
    <row r="139" spans="1:7" x14ac:dyDescent="0.25">
      <c r="A139" t="s">
        <v>291</v>
      </c>
      <c r="B139" t="str">
        <f>LEFT(A139,FIND(" / ",A139)-1)</f>
        <v>Stellar-Group</v>
      </c>
      <c r="C139" t="str">
        <f>RIGHT(A139, LEN(A139) - FIND(" / ", A139) - 2)</f>
        <v xml:space="preserve">Stellar Cso </v>
      </c>
      <c r="D139" t="s">
        <v>292</v>
      </c>
      <c r="E139" t="s">
        <v>249</v>
      </c>
      <c r="G139" t="s">
        <v>310</v>
      </c>
    </row>
    <row r="140" spans="1:7" x14ac:dyDescent="0.25">
      <c r="A140" t="s">
        <v>293</v>
      </c>
      <c r="B140" t="str">
        <f>LEFT(A140,FIND(" / ",A140)-1)</f>
        <v>Stellar-Group</v>
      </c>
      <c r="C140" t="str">
        <f>RIGHT(A140, LEN(A140) - FIND(" / ", A140) - 2)</f>
        <v xml:space="preserve">Stellar_HG </v>
      </c>
      <c r="D140" t="s">
        <v>294</v>
      </c>
      <c r="E140" t="s">
        <v>249</v>
      </c>
      <c r="G140" t="s">
        <v>310</v>
      </c>
    </row>
    <row r="141" spans="1:7" x14ac:dyDescent="0.25">
      <c r="A141" t="s">
        <v>295</v>
      </c>
      <c r="B141" t="str">
        <f>LEFT(A141,FIND(" / ",A141)-1)</f>
        <v>UltraPulse-Group</v>
      </c>
      <c r="C141" t="str">
        <f>RIGHT(A141, LEN(A141) - FIND(" / ", A141) - 2)</f>
        <v xml:space="preserve">Ultrapulse </v>
      </c>
      <c r="D141" t="s">
        <v>296</v>
      </c>
      <c r="E141" t="s">
        <v>249</v>
      </c>
      <c r="G141" t="s">
        <v>310</v>
      </c>
    </row>
    <row r="142" spans="1:7" x14ac:dyDescent="0.25">
      <c r="A142" t="s">
        <v>297</v>
      </c>
      <c r="B142" t="str">
        <f>LEFT(A142,FIND(" / ",A142)-1)</f>
        <v>Unified-Group</v>
      </c>
      <c r="C142" t="str">
        <f>RIGHT(A142, LEN(A142) - FIND(" / ", A142) - 2)</f>
        <v xml:space="preserve">Lisa </v>
      </c>
      <c r="D142" t="s">
        <v>298</v>
      </c>
      <c r="E142" t="s">
        <v>139</v>
      </c>
      <c r="F142" t="s">
        <v>140</v>
      </c>
      <c r="G142" t="s">
        <v>310</v>
      </c>
    </row>
    <row r="143" spans="1:7" x14ac:dyDescent="0.25">
      <c r="A143" t="s">
        <v>299</v>
      </c>
      <c r="B143" t="str">
        <f>LEFT(A143,FIND(" / ",A143)-1)</f>
        <v>Unified-Group</v>
      </c>
      <c r="C143" t="str">
        <f>RIGHT(A143, LEN(A143) - FIND(" / ", A143) - 2)</f>
        <v xml:space="preserve">MAP_RF </v>
      </c>
      <c r="D143" t="s">
        <v>300</v>
      </c>
      <c r="E143" t="s">
        <v>139</v>
      </c>
      <c r="F143" t="s">
        <v>140</v>
      </c>
      <c r="G143" t="s">
        <v>310</v>
      </c>
    </row>
    <row r="144" spans="1:7" x14ac:dyDescent="0.25">
      <c r="A144" t="s">
        <v>301</v>
      </c>
      <c r="B144" t="str">
        <f>LEFT(A144,FIND(" / ",A144)-1)</f>
        <v>Unified-Group</v>
      </c>
      <c r="C144" t="str">
        <f>RIGHT(A144, LEN(A144) - FIND(" / ", A144) - 2)</f>
        <v xml:space="preserve">Milan </v>
      </c>
      <c r="D144" t="s">
        <v>302</v>
      </c>
      <c r="E144" t="s">
        <v>139</v>
      </c>
      <c r="F144" t="s">
        <v>140</v>
      </c>
      <c r="G144" t="s">
        <v>310</v>
      </c>
    </row>
    <row r="145" spans="1:7" x14ac:dyDescent="0.25">
      <c r="A145" t="s">
        <v>303</v>
      </c>
      <c r="B145" t="str">
        <f>LEFT(A145,FIND(" / ",A145)-1)</f>
        <v>Unified-Group</v>
      </c>
      <c r="C145" t="str">
        <f>RIGHT(A145, LEN(A145) - FIND(" / ", A145) - 2)</f>
        <v xml:space="preserve">Stellar_Unified </v>
      </c>
      <c r="D145" t="s">
        <v>304</v>
      </c>
      <c r="E145" t="s">
        <v>139</v>
      </c>
      <c r="F145" t="s">
        <v>140</v>
      </c>
      <c r="G145" t="s">
        <v>310</v>
      </c>
    </row>
    <row r="146" spans="1:7" x14ac:dyDescent="0.25">
      <c r="A146" t="s">
        <v>305</v>
      </c>
      <c r="B146" t="str">
        <f>LEFT(A146,FIND(" / ",A146)-1)</f>
        <v>Unified-Group</v>
      </c>
      <c r="C146" t="str">
        <f>RIGHT(A146, LEN(A146) - FIND(" / ", A146) - 2)</f>
        <v xml:space="preserve">Unified </v>
      </c>
      <c r="D146" t="s">
        <v>306</v>
      </c>
      <c r="E146" t="s">
        <v>139</v>
      </c>
      <c r="F146" t="s">
        <v>140</v>
      </c>
      <c r="G146" t="s">
        <v>310</v>
      </c>
    </row>
    <row r="147" spans="1:7" x14ac:dyDescent="0.25">
      <c r="A147" t="s">
        <v>307</v>
      </c>
      <c r="B147" t="str">
        <f>LEFT(A147,FIND(" / ",A147)-1)</f>
        <v>Victor Boskovitz</v>
      </c>
      <c r="C147" t="str">
        <f>RIGHT(A147, LEN(A147) - FIND(" / ", A147) - 2)</f>
        <v xml:space="preserve">AlgoResearch </v>
      </c>
      <c r="D147" t="s">
        <v>308</v>
      </c>
      <c r="E147" t="s">
        <v>35</v>
      </c>
      <c r="F147" t="s">
        <v>36</v>
      </c>
      <c r="G147" t="s">
        <v>320</v>
      </c>
    </row>
  </sheetData>
  <conditionalFormatting sqref="C1:C1048576">
    <cfRule type="duplicateValues" dxfId="0" priority="1"/>
  </conditionalFormatting>
  <hyperlinks>
    <hyperlink ref="D115" r:id="rId1" display="https://rdgit.lumenis.com/admin/projects/opsworks-group/Leo" xr:uid="{3A985F85-9358-4E49-815A-89BBF1CDDBEF}"/>
    <hyperlink ref="D119" r:id="rId2" display="https://rdgit.lumenis.com/admin/projects/Quattro-Group/quattro" xr:uid="{A732AC48-AFBD-4DCE-9810-AC1C3DB84918}"/>
    <hyperlink ref="D50" r:id="rId3" xr:uid="{8C1C5C3D-10CA-41E6-AD3E-BE182A5FD92F}"/>
    <hyperlink ref="D52" r:id="rId4" xr:uid="{42C14B99-4345-4D51-83F6-6A549287A79A}"/>
    <hyperlink ref="D136" r:id="rId5" xr:uid="{B7F5D1F7-786D-41F4-8941-C2823C0955FB}"/>
    <hyperlink ref="D2" r:id="rId6" xr:uid="{79B2F84A-63B8-464D-8EC1-814EAA6C372D}"/>
  </hyperlinks>
  <pageMargins left="0.7" right="0.7" top="0.75" bottom="0.75" header="0.3" footer="0.3"/>
  <pageSetup paperSize="9" orientation="portrait" horizontalDpi="1200" verticalDpi="1200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Moran Dringer</dc:creator>
  <cp:keywords/>
  <dc:description/>
  <cp:lastModifiedBy>Moran Dringer</cp:lastModifiedBy>
  <cp:revision/>
  <dcterms:created xsi:type="dcterms:W3CDTF">2024-06-25T13:08:46Z</dcterms:created>
  <dcterms:modified xsi:type="dcterms:W3CDTF">2024-06-30T11:02:44Z</dcterms:modified>
  <cp:category/>
  <cp:contentStatus/>
</cp:coreProperties>
</file>